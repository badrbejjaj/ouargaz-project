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1056331.OXYGEN\Desktop\CLAUDE\"/>
    </mc:Choice>
  </mc:AlternateContent>
  <xr:revisionPtr revIDLastSave="0" documentId="13_ncr:1_{A87DE292-82B8-4DFF-94CA-AF8945E47C1C}" xr6:coauthVersionLast="47" xr6:coauthVersionMax="47" xr10:uidLastSave="{00000000-0000-0000-0000-000000000000}"/>
  <bookViews>
    <workbookView xWindow="-110" yWindow="-110" windowWidth="19420" windowHeight="10300" xr2:uid="{287C44FC-AB12-4E4B-AEAD-68A48BF9D227}"/>
  </bookViews>
  <sheets>
    <sheet name="CANEVAS" sheetId="1" r:id="rId1"/>
  </sheets>
  <externalReferences>
    <externalReference r:id="rId2"/>
    <externalReference r:id="rId3"/>
  </externalReferences>
  <definedNames>
    <definedName name="_xcgh" localSheetId="0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  <definedName name="_xcgh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  <definedName name="A" localSheetId="0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  <definedName name="A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  <definedName name="ac">#REF!</definedName>
    <definedName name="BHJHJHGLJ">#REF!</definedName>
    <definedName name="BHJHJHGU" localSheetId="0">#REF!</definedName>
    <definedName name="BHJHJHGU">#REF!</definedName>
    <definedName name="ChargerBD">[1]Macro!$B$8:$B$22</definedName>
    <definedName name="E" localSheetId="0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  <definedName name="E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  <definedName name="ETAT">#REF!</definedName>
    <definedName name="KKJJH" localSheetId="0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  <definedName name="KKJJH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  <definedName name="lllll">#REF!</definedName>
    <definedName name="MisajourTCD">[2]Macro1!$B$2:$B$6</definedName>
    <definedName name="wrn.Rapport._.Fabrication." localSheetId="0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  <definedName name="wrn.Rapport._.Fabrication.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  <definedName name="xcgh0" localSheetId="0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  <definedName name="xcgh0" hidden="1">{#N/A,#N/A,FALSE,"Topping1";#N/A,#N/A,FALSE,"Topping2";#N/A,#N/A,FALSE,"SousVide";#N/A,#N/A,FALSE,"TCC";#N/A,#N/A,FALSE,"Reforming1";#N/A,#N/A,FALSE,"Reforming2";#N/A,#N/A,FALSE,"GasPlant1";#N/A,#N/A,FALSE,"GasPlant2";#N/A,#N/A,FALSE,"FabGlob";#N/A,#N/A,FALSE,"CondEss";#N/A,#N/A,FALSE,"CondF&amp;D";#N/A,#N/A,FALSE,"CondF&amp;Dbis";#N/A,#N/A,FALSE,"BilGlob";#N/A,#N/A,FALSE,"MouvPro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B36" i="1" l="1"/>
  <c r="BA36" i="1"/>
  <c r="AZ36" i="1"/>
  <c r="AZ37" i="1" s="1"/>
  <c r="AY36" i="1"/>
  <c r="AX36" i="1"/>
  <c r="AW36" i="1"/>
  <c r="AW37" i="1" s="1"/>
  <c r="AV36" i="1"/>
  <c r="AU36" i="1"/>
  <c r="AT36" i="1"/>
  <c r="AT37" i="1" s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E37" i="1" s="1"/>
  <c r="AD36" i="1"/>
  <c r="AC36" i="1"/>
  <c r="AB36" i="1"/>
  <c r="AA36" i="1"/>
  <c r="X36" i="1"/>
  <c r="W36" i="1"/>
  <c r="V36" i="1"/>
  <c r="U36" i="1"/>
  <c r="T36" i="1"/>
  <c r="S36" i="1"/>
  <c r="S40" i="1" s="1"/>
  <c r="R36" i="1"/>
  <c r="Q36" i="1"/>
  <c r="P36" i="1"/>
  <c r="P37" i="1" s="1"/>
  <c r="O36" i="1"/>
  <c r="N36" i="1"/>
  <c r="M36" i="1"/>
  <c r="L36" i="1"/>
  <c r="K36" i="1"/>
  <c r="K40" i="1" s="1"/>
  <c r="J36" i="1"/>
  <c r="I36" i="1"/>
  <c r="H36" i="1"/>
  <c r="H40" i="1" s="1"/>
  <c r="BE35" i="1"/>
  <c r="BD35" i="1"/>
  <c r="BC35" i="1"/>
  <c r="BE34" i="1"/>
  <c r="BD34" i="1"/>
  <c r="BC34" i="1"/>
  <c r="BE33" i="1"/>
  <c r="BD33" i="1"/>
  <c r="BC33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24" i="1"/>
  <c r="BD24" i="1"/>
  <c r="BC24" i="1"/>
  <c r="BE23" i="1"/>
  <c r="BD23" i="1"/>
  <c r="BC23" i="1"/>
  <c r="BE22" i="1"/>
  <c r="BD22" i="1"/>
  <c r="BC22" i="1"/>
  <c r="C36" i="1"/>
  <c r="Z36" i="1"/>
  <c r="BC21" i="1"/>
  <c r="G36" i="1"/>
  <c r="BD21" i="1"/>
  <c r="BE20" i="1"/>
  <c r="BD20" i="1"/>
  <c r="BC20" i="1"/>
  <c r="BE19" i="1"/>
  <c r="BD19" i="1"/>
  <c r="BC19" i="1"/>
  <c r="BE18" i="1"/>
  <c r="BD18" i="1"/>
  <c r="BC18" i="1"/>
  <c r="BD17" i="1"/>
  <c r="D36" i="1"/>
  <c r="B36" i="1"/>
  <c r="BE16" i="1"/>
  <c r="BD16" i="1"/>
  <c r="BC16" i="1"/>
  <c r="BE15" i="1"/>
  <c r="BD15" i="1"/>
  <c r="BC15" i="1"/>
  <c r="BE14" i="1"/>
  <c r="BD14" i="1"/>
  <c r="BC14" i="1"/>
  <c r="BE13" i="1"/>
  <c r="BD13" i="1"/>
  <c r="BC13" i="1"/>
  <c r="BE12" i="1"/>
  <c r="BD12" i="1"/>
  <c r="BC12" i="1"/>
  <c r="BE11" i="1"/>
  <c r="BD11" i="1"/>
  <c r="BC11" i="1"/>
  <c r="BE10" i="1"/>
  <c r="BD10" i="1"/>
  <c r="BC10" i="1"/>
  <c r="E36" i="1"/>
  <c r="BD36" i="1" l="1"/>
  <c r="AQ37" i="1"/>
  <c r="AB37" i="1"/>
  <c r="AH37" i="1"/>
  <c r="AQ40" i="1"/>
  <c r="K37" i="1"/>
  <c r="AK37" i="1"/>
  <c r="H37" i="1"/>
  <c r="M40" i="1"/>
  <c r="V37" i="1"/>
  <c r="AN37" i="1"/>
  <c r="B40" i="1"/>
  <c r="B37" i="1"/>
  <c r="F36" i="1"/>
  <c r="E37" i="1" s="1"/>
  <c r="M37" i="1"/>
  <c r="BE21" i="1"/>
  <c r="S37" i="1"/>
  <c r="Y36" i="1"/>
  <c r="BC17" i="1"/>
  <c r="BC36" i="1" s="1"/>
  <c r="BE17" i="1"/>
  <c r="BE36" i="1" l="1"/>
  <c r="BC40" i="1"/>
  <c r="BC37" i="1"/>
  <c r="E40" i="1"/>
  <c r="Y40" i="1"/>
  <c r="Y37" i="1"/>
</calcChain>
</file>

<file path=xl/sharedStrings.xml><?xml version="1.0" encoding="utf-8"?>
<sst xmlns="http://schemas.openxmlformats.org/spreadsheetml/2006/main" count="94" uniqueCount="32">
  <si>
    <t xml:space="preserve">OUARGAZ S.A                                                                                          
</t>
  </si>
  <si>
    <t>Centre Emplisseur</t>
  </si>
  <si>
    <t>TEL : (0524)88-30-85</t>
  </si>
  <si>
    <t xml:space="preserve">FAX : (0524)–88-30-05 </t>
  </si>
  <si>
    <t xml:space="preserve">Objet :  VENTE GPL PAR DEPOSITAIRE TotalEnergies  Marketing Maroc   </t>
  </si>
  <si>
    <t>SONOMAC</t>
  </si>
  <si>
    <t xml:space="preserve">DATE  </t>
  </si>
  <si>
    <t>WESALSAT</t>
  </si>
  <si>
    <t>EL MEZOUARI TTG</t>
  </si>
  <si>
    <t>SOBADEGAZ</t>
  </si>
  <si>
    <t>LWAZIZ</t>
  </si>
  <si>
    <t>BASSAINE</t>
  </si>
  <si>
    <t>IDALI</t>
  </si>
  <si>
    <t>AIT CHOUT</t>
  </si>
  <si>
    <t>ORANGEGAZ</t>
  </si>
  <si>
    <t>TAMONT</t>
  </si>
  <si>
    <t>ZNAGA GAZ</t>
  </si>
  <si>
    <t>IDKAROM</t>
  </si>
  <si>
    <t>AMASSOUL</t>
  </si>
  <si>
    <t>AIN ZARGA</t>
  </si>
  <si>
    <t>FRIDI</t>
  </si>
  <si>
    <t>ABGAG GAZ</t>
  </si>
  <si>
    <t>OULBORJ</t>
  </si>
  <si>
    <t>TOTAUX</t>
  </si>
  <si>
    <t>TOTAL</t>
  </si>
  <si>
    <t>ATLAS</t>
  </si>
  <si>
    <t>SAADA</t>
  </si>
  <si>
    <t>DIMA</t>
  </si>
  <si>
    <t>12 Kg</t>
  </si>
  <si>
    <t>03 Kg</t>
  </si>
  <si>
    <t>06 Kg</t>
  </si>
  <si>
    <t>TOTAUX (en 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</si>
</sst>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\ [$DH-380C]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i/>
      <u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medium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medium">
        <color indexed="64"/>
      </right>
      <top/>
      <bottom/>
      <diagonal style="medium">
        <color indexed="64"/>
      </diagonal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 applyAlignment="1">
      <alignment horizontal="center"/>
    </xf>
    <xf numFmtId="0" fontId="4" fillId="0" borderId="0" xfId="1" applyFont="1" applyAlignment="1">
      <alignment wrapText="1"/>
    </xf>
    <xf numFmtId="0" fontId="1" fillId="0" borderId="0" xfId="1"/>
    <xf numFmtId="0" fontId="5" fillId="0" borderId="0" xfId="1" applyFont="1"/>
    <xf numFmtId="0" fontId="6" fillId="0" borderId="0" xfId="1" applyFont="1"/>
    <xf numFmtId="0" fontId="7" fillId="0" borderId="0" xfId="1" applyFont="1" applyAlignment="1">
      <alignment horizontal="center"/>
    </xf>
    <xf numFmtId="0" fontId="6" fillId="0" borderId="1" xfId="1" applyFont="1" applyBorder="1"/>
    <xf numFmtId="0" fontId="6" fillId="0" borderId="2" xfId="1" applyFont="1" applyBorder="1"/>
    <xf numFmtId="0" fontId="9" fillId="4" borderId="20" xfId="1" applyFont="1" applyFill="1" applyBorder="1" applyAlignment="1">
      <alignment horizontal="center"/>
    </xf>
    <xf numFmtId="0" fontId="9" fillId="4" borderId="21" xfId="1" applyFont="1" applyFill="1" applyBorder="1" applyAlignment="1">
      <alignment horizontal="center"/>
    </xf>
    <xf numFmtId="0" fontId="9" fillId="4" borderId="22" xfId="1" applyFont="1" applyFill="1" applyBorder="1" applyAlignment="1">
      <alignment horizontal="center"/>
    </xf>
    <xf numFmtId="0" fontId="9" fillId="4" borderId="23" xfId="1" applyFont="1" applyFill="1" applyBorder="1" applyAlignment="1">
      <alignment horizontal="center"/>
    </xf>
    <xf numFmtId="0" fontId="9" fillId="4" borderId="24" xfId="1" applyFont="1" applyFill="1" applyBorder="1" applyAlignment="1">
      <alignment horizontal="center"/>
    </xf>
    <xf numFmtId="0" fontId="9" fillId="4" borderId="25" xfId="1" applyFont="1" applyFill="1" applyBorder="1" applyAlignment="1">
      <alignment horizontal="center"/>
    </xf>
    <xf numFmtId="0" fontId="9" fillId="4" borderId="26" xfId="1" applyFont="1" applyFill="1" applyBorder="1" applyAlignment="1">
      <alignment horizontal="center"/>
    </xf>
    <xf numFmtId="0" fontId="9" fillId="4" borderId="27" xfId="1" applyFont="1" applyFill="1" applyBorder="1" applyAlignment="1">
      <alignment horizontal="center"/>
    </xf>
    <xf numFmtId="0" fontId="9" fillId="4" borderId="28" xfId="1" applyFont="1" applyFill="1" applyBorder="1" applyAlignment="1">
      <alignment horizontal="center"/>
    </xf>
    <xf numFmtId="14" fontId="1" fillId="0" borderId="29" xfId="1" applyNumberFormat="1" applyBorder="1" applyAlignment="1">
      <alignment horizontal="center"/>
    </xf>
    <xf numFmtId="0" fontId="6" fillId="0" borderId="30" xfId="1" applyFont="1" applyBorder="1" applyAlignment="1">
      <alignment horizontal="center"/>
    </xf>
    <xf numFmtId="0" fontId="6" fillId="0" borderId="31" xfId="1" applyFont="1" applyBorder="1" applyAlignment="1">
      <alignment horizontal="center"/>
    </xf>
    <xf numFmtId="0" fontId="6" fillId="0" borderId="32" xfId="1" applyFont="1" applyBorder="1" applyAlignment="1">
      <alignment horizontal="center"/>
    </xf>
    <xf numFmtId="0" fontId="6" fillId="0" borderId="33" xfId="1" applyFont="1" applyBorder="1" applyAlignment="1">
      <alignment horizontal="center"/>
    </xf>
    <xf numFmtId="0" fontId="6" fillId="0" borderId="34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37" xfId="1" applyFont="1" applyBorder="1" applyAlignment="1">
      <alignment horizontal="center"/>
    </xf>
    <xf numFmtId="0" fontId="6" fillId="0" borderId="38" xfId="1" applyFont="1" applyBorder="1" applyAlignment="1">
      <alignment horizontal="center"/>
    </xf>
    <xf numFmtId="0" fontId="6" fillId="0" borderId="39" xfId="1" applyFont="1" applyBorder="1" applyAlignment="1">
      <alignment horizontal="center"/>
    </xf>
    <xf numFmtId="0" fontId="6" fillId="0" borderId="40" xfId="1" applyFont="1" applyBorder="1" applyAlignment="1">
      <alignment horizontal="center"/>
    </xf>
    <xf numFmtId="0" fontId="6" fillId="0" borderId="41" xfId="1" applyFont="1" applyBorder="1" applyAlignment="1">
      <alignment horizontal="center"/>
    </xf>
    <xf numFmtId="0" fontId="6" fillId="0" borderId="42" xfId="1" applyFont="1" applyBorder="1" applyAlignment="1">
      <alignment horizontal="center"/>
    </xf>
    <xf numFmtId="0" fontId="6" fillId="0" borderId="43" xfId="1" applyFont="1" applyBorder="1" applyAlignment="1">
      <alignment horizontal="center"/>
    </xf>
    <xf numFmtId="0" fontId="6" fillId="0" borderId="44" xfId="1" applyFont="1" applyBorder="1" applyAlignment="1">
      <alignment horizontal="center"/>
    </xf>
    <xf numFmtId="0" fontId="6" fillId="0" borderId="45" xfId="1" applyFont="1" applyBorder="1" applyAlignment="1">
      <alignment horizontal="center"/>
    </xf>
    <xf numFmtId="0" fontId="6" fillId="0" borderId="46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5" fillId="0" borderId="44" xfId="1" applyFont="1" applyBorder="1" applyAlignment="1">
      <alignment horizontal="center"/>
    </xf>
    <xf numFmtId="0" fontId="5" fillId="0" borderId="34" xfId="1" applyFont="1" applyBorder="1" applyAlignment="1">
      <alignment horizontal="center"/>
    </xf>
    <xf numFmtId="0" fontId="5" fillId="0" borderId="45" xfId="1" applyFont="1" applyBorder="1" applyAlignment="1">
      <alignment horizontal="center"/>
    </xf>
    <xf numFmtId="0" fontId="6" fillId="0" borderId="48" xfId="1" applyFont="1" applyBorder="1" applyAlignment="1">
      <alignment horizontal="center"/>
    </xf>
    <xf numFmtId="0" fontId="6" fillId="0" borderId="49" xfId="1" applyFont="1" applyBorder="1" applyAlignment="1">
      <alignment horizontal="center"/>
    </xf>
    <xf numFmtId="0" fontId="6" fillId="0" borderId="50" xfId="1" applyFont="1" applyBorder="1" applyAlignment="1">
      <alignment horizontal="center"/>
    </xf>
    <xf numFmtId="0" fontId="6" fillId="0" borderId="51" xfId="1" applyFont="1" applyBorder="1" applyAlignment="1">
      <alignment horizontal="center"/>
    </xf>
    <xf numFmtId="0" fontId="6" fillId="0" borderId="52" xfId="1" applyFont="1" applyBorder="1" applyAlignment="1">
      <alignment horizontal="center"/>
    </xf>
    <xf numFmtId="0" fontId="6" fillId="0" borderId="53" xfId="1" applyFont="1" applyBorder="1" applyAlignment="1">
      <alignment horizontal="center"/>
    </xf>
    <xf numFmtId="0" fontId="6" fillId="5" borderId="33" xfId="1" applyFont="1" applyFill="1" applyBorder="1" applyAlignment="1">
      <alignment horizontal="center"/>
    </xf>
    <xf numFmtId="0" fontId="6" fillId="5" borderId="51" xfId="1" applyFont="1" applyFill="1" applyBorder="1" applyAlignment="1">
      <alignment horizontal="center"/>
    </xf>
    <xf numFmtId="0" fontId="6" fillId="5" borderId="38" xfId="1" applyFont="1" applyFill="1" applyBorder="1" applyAlignment="1">
      <alignment horizontal="center"/>
    </xf>
    <xf numFmtId="0" fontId="6" fillId="0" borderId="54" xfId="1" applyFont="1" applyBorder="1" applyAlignment="1">
      <alignment horizontal="center"/>
    </xf>
    <xf numFmtId="0" fontId="6" fillId="0" borderId="55" xfId="1" applyFont="1" applyBorder="1" applyAlignment="1">
      <alignment horizontal="center"/>
    </xf>
    <xf numFmtId="0" fontId="6" fillId="0" borderId="56" xfId="1" applyFont="1" applyBorder="1" applyAlignment="1">
      <alignment horizontal="center"/>
    </xf>
    <xf numFmtId="0" fontId="5" fillId="0" borderId="52" xfId="1" applyFont="1" applyBorder="1" applyAlignment="1">
      <alignment horizontal="center"/>
    </xf>
    <xf numFmtId="0" fontId="5" fillId="0" borderId="33" xfId="1" applyFont="1" applyBorder="1" applyAlignment="1">
      <alignment horizontal="center"/>
    </xf>
    <xf numFmtId="0" fontId="6" fillId="5" borderId="52" xfId="1" applyFont="1" applyFill="1" applyBorder="1" applyAlignment="1">
      <alignment horizontal="center"/>
    </xf>
    <xf numFmtId="0" fontId="6" fillId="5" borderId="56" xfId="1" applyFont="1" applyFill="1" applyBorder="1" applyAlignment="1">
      <alignment horizontal="center"/>
    </xf>
    <xf numFmtId="0" fontId="6" fillId="5" borderId="55" xfId="1" applyFont="1" applyFill="1" applyBorder="1" applyAlignment="1">
      <alignment horizontal="center"/>
    </xf>
    <xf numFmtId="0" fontId="10" fillId="6" borderId="43" xfId="1" applyFont="1" applyFill="1" applyBorder="1"/>
    <xf numFmtId="0" fontId="5" fillId="6" borderId="30" xfId="1" applyFont="1" applyFill="1" applyBorder="1" applyAlignment="1">
      <alignment horizontal="center"/>
    </xf>
    <xf numFmtId="0" fontId="5" fillId="6" borderId="46" xfId="1" applyFont="1" applyFill="1" applyBorder="1" applyAlignment="1">
      <alignment horizontal="center"/>
    </xf>
    <xf numFmtId="0" fontId="5" fillId="6" borderId="57" xfId="1" applyFont="1" applyFill="1" applyBorder="1" applyAlignment="1">
      <alignment horizontal="center"/>
    </xf>
    <xf numFmtId="0" fontId="5" fillId="6" borderId="32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10" fillId="6" borderId="58" xfId="1" applyFont="1" applyFill="1" applyBorder="1"/>
    <xf numFmtId="164" fontId="1" fillId="0" borderId="0" xfId="1" applyNumberFormat="1"/>
    <xf numFmtId="164" fontId="6" fillId="0" borderId="0" xfId="1" applyNumberFormat="1" applyFont="1"/>
    <xf numFmtId="165" fontId="6" fillId="7" borderId="0" xfId="1" applyNumberFormat="1" applyFont="1" applyFill="1"/>
    <xf numFmtId="0" fontId="6" fillId="7" borderId="0" xfId="1" applyFont="1" applyFill="1"/>
    <xf numFmtId="0" fontId="5" fillId="7" borderId="0" xfId="1" applyFont="1" applyFill="1" applyAlignment="1">
      <alignment vertical="top"/>
    </xf>
    <xf numFmtId="164" fontId="5" fillId="0" borderId="0" xfId="1" applyNumberFormat="1" applyFont="1"/>
    <xf numFmtId="164" fontId="11" fillId="0" borderId="0" xfId="1" applyNumberFormat="1" applyFont="1"/>
    <xf numFmtId="0" fontId="8" fillId="3" borderId="10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5" fillId="3" borderId="6" xfId="1" applyFont="1" applyFill="1" applyBorder="1" applyAlignment="1">
      <alignment horizontal="center"/>
    </xf>
    <xf numFmtId="0" fontId="5" fillId="3" borderId="13" xfId="1" applyFont="1" applyFill="1" applyBorder="1" applyAlignment="1">
      <alignment horizontal="center"/>
    </xf>
    <xf numFmtId="0" fontId="8" fillId="3" borderId="7" xfId="1" applyFont="1" applyFill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  <xf numFmtId="0" fontId="8" fillId="3" borderId="9" xfId="1" applyFont="1" applyFill="1" applyBorder="1" applyAlignment="1">
      <alignment horizontal="center" vertical="center"/>
    </xf>
    <xf numFmtId="0" fontId="8" fillId="3" borderId="14" xfId="1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8" xfId="1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/>
    </xf>
    <xf numFmtId="164" fontId="5" fillId="6" borderId="59" xfId="1" applyNumberFormat="1" applyFont="1" applyFill="1" applyBorder="1" applyAlignment="1">
      <alignment horizontal="center"/>
    </xf>
    <xf numFmtId="164" fontId="5" fillId="6" borderId="1" xfId="1" applyNumberFormat="1" applyFont="1" applyFill="1" applyBorder="1" applyAlignment="1">
      <alignment horizontal="center"/>
    </xf>
    <xf numFmtId="164" fontId="5" fillId="6" borderId="60" xfId="1" applyNumberFormat="1" applyFont="1" applyFill="1" applyBorder="1" applyAlignment="1">
      <alignment horizontal="center"/>
    </xf>
    <xf numFmtId="164" fontId="5" fillId="6" borderId="61" xfId="1" applyNumberFormat="1" applyFont="1" applyFill="1" applyBorder="1" applyAlignment="1">
      <alignment horizontal="center"/>
    </xf>
    <xf numFmtId="164" fontId="5" fillId="6" borderId="2" xfId="1" applyNumberFormat="1" applyFont="1" applyFill="1" applyBorder="1" applyAlignment="1">
      <alignment horizontal="center"/>
    </xf>
    <xf numFmtId="164" fontId="5" fillId="6" borderId="58" xfId="1" applyNumberFormat="1" applyFont="1" applyFill="1" applyBorder="1" applyAlignment="1">
      <alignment horizontal="center"/>
    </xf>
    <xf numFmtId="164" fontId="5" fillId="0" borderId="0" xfId="1" applyNumberFormat="1" applyFont="1" applyAlignment="1">
      <alignment horizontal="center" vertical="top"/>
    </xf>
    <xf numFmtId="164" fontId="6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</cellXfs>
  <cellStyles count="2">
    <cellStyle name="Normal" xfId="0" builtinId="0"/>
    <cellStyle name="Normal 2" xfId="1" xr:uid="{3F508A55-A83A-47B8-8B63-2C8908386D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fadil\shareddocs\Ab\RM\RMAIC\RapCtr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.fadil\SAISIE%202005\Documents%20and%20Settings\OUARGAZ\Mes%20documents\OUARGAZ%20MAI%2004\MOTYA%2004\Suivi%20des%20ventes\Suivi%20ven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ilanGPL"/>
      <sheetName val="BilanC4Fr"/>
      <sheetName val="BilanC3Fr"/>
      <sheetName val="Approvisionnement"/>
      <sheetName val="Import_Bis"/>
      <sheetName val="Import"/>
      <sheetName val="Achats"/>
      <sheetName val="Macro"/>
      <sheetName val="BilanC4"/>
      <sheetName val="BilanC3"/>
      <sheetName val="Coût_Dif_Transp"/>
      <sheetName val="MouvBD"/>
      <sheetName val="VtGPL"/>
      <sheetName val="VtGPL_Bis"/>
      <sheetName val="RetourGaz"/>
      <sheetName val="VarVt"/>
      <sheetName val="TravAnex"/>
      <sheetName val="Période"/>
      <sheetName val="TransportC4"/>
      <sheetName val="TransportC3"/>
      <sheetName val="FactTransGPL"/>
      <sheetName val="FactVentesGPL"/>
      <sheetName val="FactVentesGPL_Bis"/>
      <sheetName val="VtBD12Kg3K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>
        <row r="8">
          <cell r="B8" t="str">
            <v>ChargerBD</v>
          </cell>
        </row>
        <row r="9">
          <cell r="B9" t="b">
            <v>1</v>
          </cell>
        </row>
        <row r="10">
          <cell r="B10" t="b">
            <v>0</v>
          </cell>
        </row>
        <row r="11">
          <cell r="B11" t="b">
            <v>1</v>
          </cell>
        </row>
        <row r="12">
          <cell r="B12" t="b">
            <v>0</v>
          </cell>
        </row>
        <row r="13">
          <cell r="B13" t="b">
            <v>1</v>
          </cell>
        </row>
        <row r="14">
          <cell r="B14" t="b">
            <v>1</v>
          </cell>
        </row>
        <row r="15">
          <cell r="B15" t="b">
            <v>0</v>
          </cell>
        </row>
        <row r="16">
          <cell r="B16" t="b">
            <v>1</v>
          </cell>
        </row>
        <row r="17">
          <cell r="B17" t="b">
            <v>0</v>
          </cell>
        </row>
        <row r="18">
          <cell r="B18" t="b">
            <v>1</v>
          </cell>
        </row>
        <row r="19">
          <cell r="B19" t="b">
            <v>1</v>
          </cell>
        </row>
        <row r="20">
          <cell r="B20" t="b">
            <v>0</v>
          </cell>
        </row>
        <row r="21">
          <cell r="B21" t="b">
            <v>1</v>
          </cell>
        </row>
        <row r="22">
          <cell r="B22" t="b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le de saisies"/>
      <sheetName val="Vue Par Client"/>
      <sheetName val="Macro1"/>
      <sheetName val="Vue Par Produit"/>
      <sheetName val="Vue Par Concessionnaire"/>
      <sheetName val="Note"/>
      <sheetName val="Feuille_de_saisies"/>
      <sheetName val="Vue_Par_Client"/>
      <sheetName val="Vue_Par_Produit"/>
      <sheetName val="Vue_Par_Concessionnaire"/>
      <sheetName val="Feuille_de_saisies1"/>
      <sheetName val="Vue_Par_Client1"/>
      <sheetName val="Vue_Par_Produit1"/>
      <sheetName val="Vue_Par_Concessionnaire1"/>
      <sheetName val="Feuille_de_saisies2"/>
      <sheetName val="Vue_Par_Client2"/>
      <sheetName val="Vue_Par_Produit2"/>
      <sheetName val="Vue_Par_Concessionnaire2"/>
      <sheetName val="Feuille_de_saisies3"/>
      <sheetName val="Vue_Par_Client3"/>
      <sheetName val="Vue_Par_Produit3"/>
      <sheetName val="Vue_Par_Concessionnaire3"/>
      <sheetName val="Feuille_de_saisies4"/>
      <sheetName val="Vue_Par_Client4"/>
      <sheetName val="Vue_Par_Produit4"/>
      <sheetName val="Vue_Par_Concessionnaire4"/>
      <sheetName val="Feuille_de_saisies5"/>
      <sheetName val="Vue_Par_Client5"/>
      <sheetName val="Vue_Par_Produit5"/>
      <sheetName val="Vue_Par_Concessionnaire5"/>
    </sheetNames>
    <sheetDataSet>
      <sheetData sheetId="0"/>
      <sheetData sheetId="1"/>
      <sheetData sheetId="2">
        <row r="2">
          <cell r="B2" t="str">
            <v>MisajourTCD</v>
          </cell>
        </row>
        <row r="3">
          <cell r="B3" t="b">
            <v>1</v>
          </cell>
        </row>
        <row r="4">
          <cell r="B4" t="b">
            <v>1</v>
          </cell>
        </row>
        <row r="5">
          <cell r="B5" t="b">
            <v>1</v>
          </cell>
        </row>
        <row r="6">
          <cell r="B6" t="b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2B2F-B8B3-4CA5-9D31-ABEEC26AFEA4}">
  <dimension ref="A1:BF68"/>
  <sheetViews>
    <sheetView showGridLines="0" tabSelected="1" zoomScale="55" zoomScaleNormal="55" workbookViewId="0">
      <pane ySplit="9" topLeftCell="A10" activePane="bottomLeft" state="frozen"/>
      <selection activeCell="AT11" sqref="AT11"/>
      <selection pane="bottomLeft" activeCell="O18" sqref="O18"/>
    </sheetView>
  </sheetViews>
  <sheetFormatPr baseColWidth="10" defaultColWidth="11.453125" defaultRowHeight="12.5" x14ac:dyDescent="0.25"/>
  <cols>
    <col min="1" max="1" width="14.453125" style="5" customWidth="1"/>
    <col min="2" max="2" width="8" style="5" customWidth="1"/>
    <col min="3" max="3" width="7.81640625" style="5" customWidth="1"/>
    <col min="4" max="4" width="7.54296875" style="5" customWidth="1"/>
    <col min="5" max="7" width="8.453125" style="5" customWidth="1"/>
    <col min="8" max="8" width="9.7265625" style="5" customWidth="1"/>
    <col min="9" max="9" width="7.26953125" style="5" customWidth="1"/>
    <col min="10" max="10" width="8.1796875" style="5" customWidth="1"/>
    <col min="11" max="11" width="8.26953125" style="5" customWidth="1"/>
    <col min="12" max="12" width="8.7265625" style="5" customWidth="1"/>
    <col min="13" max="13" width="9" style="5" customWidth="1"/>
    <col min="14" max="15" width="7.81640625" style="5" customWidth="1"/>
    <col min="16" max="16" width="7.26953125" style="5" hidden="1" customWidth="1"/>
    <col min="17" max="17" width="8" style="5" hidden="1" customWidth="1"/>
    <col min="18" max="18" width="8.81640625" style="5" hidden="1" customWidth="1"/>
    <col min="19" max="19" width="9.81640625" style="5" customWidth="1"/>
    <col min="20" max="20" width="8.81640625" style="5" customWidth="1"/>
    <col min="21" max="21" width="7.453125" style="5" customWidth="1"/>
    <col min="22" max="22" width="8.81640625" style="5" hidden="1" customWidth="1"/>
    <col min="23" max="23" width="8.1796875" style="5" hidden="1" customWidth="1"/>
    <col min="24" max="24" width="8.81640625" style="5" hidden="1" customWidth="1"/>
    <col min="25" max="25" width="8.81640625" style="5" customWidth="1"/>
    <col min="26" max="27" width="7.7265625" style="5" customWidth="1"/>
    <col min="28" max="28" width="8.1796875" style="5" hidden="1" customWidth="1"/>
    <col min="29" max="29" width="7.453125" style="5" hidden="1" customWidth="1"/>
    <col min="30" max="36" width="6.7265625" style="5" hidden="1" customWidth="1"/>
    <col min="37" max="37" width="7" style="5" hidden="1" customWidth="1"/>
    <col min="38" max="42" width="6" style="5" hidden="1" customWidth="1"/>
    <col min="43" max="45" width="8" style="5" customWidth="1"/>
    <col min="46" max="46" width="7" style="5" hidden="1" customWidth="1"/>
    <col min="47" max="47" width="6.81640625" style="5" hidden="1" customWidth="1"/>
    <col min="48" max="48" width="8.26953125" style="5" hidden="1" customWidth="1"/>
    <col min="49" max="51" width="6.453125" style="5" hidden="1" customWidth="1"/>
    <col min="52" max="52" width="6.7265625" style="5" hidden="1" customWidth="1"/>
    <col min="53" max="53" width="10.453125" style="5" hidden="1" customWidth="1"/>
    <col min="54" max="54" width="6.7265625" style="5" hidden="1" customWidth="1"/>
    <col min="55" max="55" width="17.1796875" style="5" customWidth="1"/>
    <col min="56" max="56" width="12.1796875" style="5" customWidth="1"/>
    <col min="57" max="57" width="8.54296875" style="5" customWidth="1"/>
    <col min="58" max="16384" width="11.453125" style="5"/>
  </cols>
  <sheetData>
    <row r="1" spans="1:57" ht="20" x14ac:dyDescent="0.4">
      <c r="A1" s="1" t="s">
        <v>0</v>
      </c>
      <c r="B1" s="2"/>
      <c r="C1" s="2"/>
      <c r="D1" s="2"/>
      <c r="E1" s="3"/>
      <c r="F1" s="3"/>
      <c r="G1" s="3"/>
      <c r="H1" s="2"/>
      <c r="I1" s="2"/>
      <c r="J1" s="2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x14ac:dyDescent="0.25">
      <c r="A2" s="5" t="s">
        <v>1</v>
      </c>
    </row>
    <row r="3" spans="1:57" x14ac:dyDescent="0.25">
      <c r="A3" s="5" t="s">
        <v>2</v>
      </c>
    </row>
    <row r="4" spans="1:57" x14ac:dyDescent="0.25">
      <c r="A4" s="5" t="s">
        <v>3</v>
      </c>
    </row>
    <row r="5" spans="1:57" ht="18.75" customHeight="1" thickBot="1" x14ac:dyDescent="0.4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</row>
    <row r="6" spans="1:57" ht="16.5" customHeight="1" thickBot="1" x14ac:dyDescent="0.4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9"/>
      <c r="Z6" s="9"/>
      <c r="AA6" s="10"/>
      <c r="AB6" s="76" t="s">
        <v>5</v>
      </c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8"/>
      <c r="BC6" s="7"/>
      <c r="BD6" s="7"/>
      <c r="BE6" s="7"/>
    </row>
    <row r="7" spans="1:57" ht="14" x14ac:dyDescent="0.25">
      <c r="A7" s="79" t="s">
        <v>6</v>
      </c>
      <c r="B7" s="81" t="s">
        <v>7</v>
      </c>
      <c r="C7" s="82"/>
      <c r="D7" s="83"/>
      <c r="E7" s="81" t="s">
        <v>8</v>
      </c>
      <c r="F7" s="82"/>
      <c r="G7" s="82"/>
      <c r="H7" s="81" t="s">
        <v>9</v>
      </c>
      <c r="I7" s="82"/>
      <c r="J7" s="83"/>
      <c r="K7" s="81" t="s">
        <v>10</v>
      </c>
      <c r="L7" s="83"/>
      <c r="M7" s="81" t="s">
        <v>11</v>
      </c>
      <c r="N7" s="82"/>
      <c r="O7" s="83"/>
      <c r="P7" s="81" t="s">
        <v>12</v>
      </c>
      <c r="Q7" s="82"/>
      <c r="R7" s="83"/>
      <c r="S7" s="73" t="s">
        <v>13</v>
      </c>
      <c r="T7" s="74"/>
      <c r="U7" s="74"/>
      <c r="V7" s="73" t="s">
        <v>14</v>
      </c>
      <c r="W7" s="74"/>
      <c r="X7" s="74"/>
      <c r="Y7" s="73" t="s">
        <v>15</v>
      </c>
      <c r="Z7" s="74"/>
      <c r="AA7" s="75"/>
      <c r="AB7" s="73" t="s">
        <v>16</v>
      </c>
      <c r="AC7" s="74"/>
      <c r="AD7" s="75"/>
      <c r="AE7" s="73" t="s">
        <v>17</v>
      </c>
      <c r="AF7" s="74"/>
      <c r="AG7" s="75"/>
      <c r="AH7" s="73"/>
      <c r="AI7" s="74"/>
      <c r="AJ7" s="75"/>
      <c r="AK7" s="73" t="s">
        <v>18</v>
      </c>
      <c r="AL7" s="74"/>
      <c r="AM7" s="75"/>
      <c r="AN7" s="73" t="s">
        <v>19</v>
      </c>
      <c r="AO7" s="74"/>
      <c r="AP7" s="75"/>
      <c r="AQ7" s="73" t="s">
        <v>20</v>
      </c>
      <c r="AR7" s="74"/>
      <c r="AS7" s="75"/>
      <c r="AT7" s="73" t="s">
        <v>18</v>
      </c>
      <c r="AU7" s="74"/>
      <c r="AV7" s="75"/>
      <c r="AW7" s="73" t="s">
        <v>21</v>
      </c>
      <c r="AX7" s="74"/>
      <c r="AY7" s="75"/>
      <c r="AZ7" s="73" t="s">
        <v>22</v>
      </c>
      <c r="BA7" s="74"/>
      <c r="BB7" s="75"/>
      <c r="BC7" s="81" t="s">
        <v>23</v>
      </c>
      <c r="BD7" s="82"/>
      <c r="BE7" s="83"/>
    </row>
    <row r="8" spans="1:57" ht="14" x14ac:dyDescent="0.25">
      <c r="A8" s="80"/>
      <c r="B8" s="84"/>
      <c r="C8" s="85"/>
      <c r="D8" s="86"/>
      <c r="E8" s="84"/>
      <c r="F8" s="85"/>
      <c r="G8" s="85"/>
      <c r="H8" s="84"/>
      <c r="I8" s="85"/>
      <c r="J8" s="86"/>
      <c r="K8" s="84"/>
      <c r="L8" s="86"/>
      <c r="M8" s="84"/>
      <c r="N8" s="85"/>
      <c r="O8" s="86"/>
      <c r="P8" s="84"/>
      <c r="Q8" s="85"/>
      <c r="R8" s="86"/>
      <c r="S8" s="87" t="s">
        <v>24</v>
      </c>
      <c r="T8" s="88"/>
      <c r="U8" s="88"/>
      <c r="V8" s="87" t="s">
        <v>25</v>
      </c>
      <c r="W8" s="88"/>
      <c r="X8" s="88"/>
      <c r="Y8" s="87" t="s">
        <v>26</v>
      </c>
      <c r="Z8" s="88"/>
      <c r="AA8" s="89"/>
      <c r="AB8" s="87" t="s">
        <v>27</v>
      </c>
      <c r="AC8" s="88"/>
      <c r="AD8" s="88"/>
      <c r="AE8" s="87" t="s">
        <v>27</v>
      </c>
      <c r="AF8" s="88"/>
      <c r="AG8" s="88"/>
      <c r="AH8" s="87" t="s">
        <v>27</v>
      </c>
      <c r="AI8" s="88"/>
      <c r="AJ8" s="88"/>
      <c r="AK8" s="87" t="s">
        <v>27</v>
      </c>
      <c r="AL8" s="88"/>
      <c r="AM8" s="88"/>
      <c r="AN8" s="87" t="s">
        <v>27</v>
      </c>
      <c r="AO8" s="88"/>
      <c r="AP8" s="88"/>
      <c r="AQ8" s="87" t="s">
        <v>27</v>
      </c>
      <c r="AR8" s="88"/>
      <c r="AS8" s="89"/>
      <c r="AT8" s="87" t="s">
        <v>27</v>
      </c>
      <c r="AU8" s="88"/>
      <c r="AV8" s="89"/>
      <c r="AW8" s="87" t="s">
        <v>27</v>
      </c>
      <c r="AX8" s="88"/>
      <c r="AY8" s="88"/>
      <c r="AZ8" s="87" t="s">
        <v>27</v>
      </c>
      <c r="BA8" s="88"/>
      <c r="BB8" s="88"/>
      <c r="BC8" s="84"/>
      <c r="BD8" s="85"/>
      <c r="BE8" s="86"/>
    </row>
    <row r="9" spans="1:57" ht="13.5" thickBot="1" x14ac:dyDescent="0.35">
      <c r="A9" s="80"/>
      <c r="B9" s="11" t="s">
        <v>28</v>
      </c>
      <c r="C9" s="12" t="s">
        <v>29</v>
      </c>
      <c r="D9" s="13" t="s">
        <v>30</v>
      </c>
      <c r="E9" s="14" t="s">
        <v>28</v>
      </c>
      <c r="F9" s="15" t="s">
        <v>29</v>
      </c>
      <c r="G9" s="12" t="s">
        <v>30</v>
      </c>
      <c r="H9" s="11" t="s">
        <v>28</v>
      </c>
      <c r="I9" s="12" t="s">
        <v>29</v>
      </c>
      <c r="J9" s="13" t="s">
        <v>30</v>
      </c>
      <c r="K9" s="11" t="s">
        <v>28</v>
      </c>
      <c r="L9" s="13" t="s">
        <v>29</v>
      </c>
      <c r="M9" s="11" t="s">
        <v>28</v>
      </c>
      <c r="N9" s="13" t="s">
        <v>29</v>
      </c>
      <c r="O9" s="13" t="s">
        <v>30</v>
      </c>
      <c r="P9" s="11" t="s">
        <v>28</v>
      </c>
      <c r="Q9" s="16" t="s">
        <v>29</v>
      </c>
      <c r="R9" s="13" t="s">
        <v>30</v>
      </c>
      <c r="S9" s="11" t="s">
        <v>28</v>
      </c>
      <c r="T9" s="16" t="s">
        <v>29</v>
      </c>
      <c r="U9" s="12" t="s">
        <v>30</v>
      </c>
      <c r="V9" s="11" t="s">
        <v>28</v>
      </c>
      <c r="W9" s="16" t="s">
        <v>29</v>
      </c>
      <c r="X9" s="12" t="s">
        <v>30</v>
      </c>
      <c r="Y9" s="17" t="s">
        <v>28</v>
      </c>
      <c r="Z9" s="17" t="s">
        <v>29</v>
      </c>
      <c r="AA9" s="18" t="s">
        <v>30</v>
      </c>
      <c r="AB9" s="11" t="s">
        <v>28</v>
      </c>
      <c r="AC9" s="15" t="s">
        <v>29</v>
      </c>
      <c r="AD9" s="19" t="s">
        <v>30</v>
      </c>
      <c r="AE9" s="11" t="s">
        <v>28</v>
      </c>
      <c r="AF9" s="15" t="s">
        <v>29</v>
      </c>
      <c r="AG9" s="19" t="s">
        <v>30</v>
      </c>
      <c r="AH9" s="11" t="s">
        <v>28</v>
      </c>
      <c r="AI9" s="15" t="s">
        <v>29</v>
      </c>
      <c r="AJ9" s="19" t="s">
        <v>30</v>
      </c>
      <c r="AK9" s="11" t="s">
        <v>28</v>
      </c>
      <c r="AL9" s="15" t="s">
        <v>29</v>
      </c>
      <c r="AM9" s="19" t="s">
        <v>30</v>
      </c>
      <c r="AN9" s="11" t="s">
        <v>28</v>
      </c>
      <c r="AO9" s="15" t="s">
        <v>29</v>
      </c>
      <c r="AP9" s="19" t="s">
        <v>30</v>
      </c>
      <c r="AQ9" s="11" t="s">
        <v>28</v>
      </c>
      <c r="AR9" s="15" t="s">
        <v>29</v>
      </c>
      <c r="AS9" s="19" t="s">
        <v>30</v>
      </c>
      <c r="AT9" s="11" t="s">
        <v>28</v>
      </c>
      <c r="AU9" s="15" t="s">
        <v>29</v>
      </c>
      <c r="AV9" s="19" t="s">
        <v>30</v>
      </c>
      <c r="AW9" s="11" t="s">
        <v>28</v>
      </c>
      <c r="AX9" s="15" t="s">
        <v>29</v>
      </c>
      <c r="AY9" s="19" t="s">
        <v>30</v>
      </c>
      <c r="AZ9" s="11" t="s">
        <v>28</v>
      </c>
      <c r="BA9" s="15" t="s">
        <v>29</v>
      </c>
      <c r="BB9" s="19" t="s">
        <v>30</v>
      </c>
      <c r="BC9" s="11" t="s">
        <v>28</v>
      </c>
      <c r="BD9" s="15" t="s">
        <v>29</v>
      </c>
      <c r="BE9" s="13" t="s">
        <v>30</v>
      </c>
    </row>
    <row r="10" spans="1:57" ht="14.25" customHeight="1" x14ac:dyDescent="0.35">
      <c r="A10" s="20"/>
      <c r="B10" s="21"/>
      <c r="C10" s="22"/>
      <c r="D10" s="23"/>
      <c r="E10" s="21"/>
      <c r="F10" s="22"/>
      <c r="G10" s="23"/>
      <c r="H10" s="24"/>
      <c r="I10" s="25"/>
      <c r="J10" s="26"/>
      <c r="K10" s="21"/>
      <c r="L10" s="23"/>
      <c r="M10" s="21"/>
      <c r="N10" s="27"/>
      <c r="O10" s="28"/>
      <c r="P10" s="29"/>
      <c r="Q10" s="28"/>
      <c r="R10" s="30"/>
      <c r="S10" s="29"/>
      <c r="T10" s="28"/>
      <c r="U10" s="31"/>
      <c r="V10" s="29"/>
      <c r="W10" s="28"/>
      <c r="X10" s="31"/>
      <c r="Y10" s="32"/>
      <c r="Z10" s="33"/>
      <c r="AA10" s="34"/>
      <c r="AB10" s="35"/>
      <c r="AC10" s="25"/>
      <c r="AD10" s="36"/>
      <c r="AE10" s="37"/>
      <c r="AF10" s="38"/>
      <c r="AG10" s="34"/>
      <c r="AH10" s="37"/>
      <c r="AI10" s="38"/>
      <c r="AJ10" s="34"/>
      <c r="AK10" s="37"/>
      <c r="AL10" s="38"/>
      <c r="AM10" s="34"/>
      <c r="AN10" s="37"/>
      <c r="AO10" s="38"/>
      <c r="AP10" s="34"/>
      <c r="AQ10" s="37"/>
      <c r="AR10" s="38"/>
      <c r="AS10" s="34"/>
      <c r="AT10" s="37"/>
      <c r="AU10" s="38"/>
      <c r="AV10" s="34"/>
      <c r="AW10" s="37"/>
      <c r="AX10" s="38"/>
      <c r="AY10" s="34"/>
      <c r="AZ10" s="37">
        <v>0</v>
      </c>
      <c r="BA10" s="38">
        <v>0</v>
      </c>
      <c r="BB10" s="34">
        <v>0</v>
      </c>
      <c r="BC10" s="39">
        <f t="shared" ref="BC10:BC20" si="0">+B10+H10+K10+M10+AB10+E10+P10+S10+AZ10+AE10+V10+AH10+AK10+AW10+AN10+AQ10+Y10+AT10</f>
        <v>0</v>
      </c>
      <c r="BD10" s="40">
        <f t="shared" ref="BD10:BD35" si="1" xml:space="preserve">
+C10+I10+L10+N10+AC10+F10+Q10+T10+BA10+AF10+W10+AI10+AL10+AX10+AO10+AR10+Z10+AU10</f>
        <v>0</v>
      </c>
      <c r="BE10" s="41">
        <f t="shared" ref="BE10:BE35" si="2">+G10+AD10+D10+R10+J10+U10+O10+BB10+AG10+X10+AJ10+AM10+AY10+AP10+AS10+AA10+AV10</f>
        <v>0</v>
      </c>
    </row>
    <row r="11" spans="1:57" ht="14.25" customHeight="1" x14ac:dyDescent="0.35">
      <c r="A11" s="20"/>
      <c r="B11" s="29"/>
      <c r="C11" s="28"/>
      <c r="D11" s="30"/>
      <c r="E11" s="29"/>
      <c r="F11" s="28"/>
      <c r="G11" s="26"/>
      <c r="H11" s="35"/>
      <c r="I11" s="26"/>
      <c r="J11" s="36"/>
      <c r="K11" s="29"/>
      <c r="L11" s="30"/>
      <c r="M11" s="29"/>
      <c r="N11" s="42"/>
      <c r="O11" s="28"/>
      <c r="P11" s="29"/>
      <c r="Q11" s="28"/>
      <c r="R11" s="30"/>
      <c r="S11" s="29"/>
      <c r="T11" s="28"/>
      <c r="U11" s="26"/>
      <c r="V11" s="29"/>
      <c r="W11" s="28"/>
      <c r="X11" s="31"/>
      <c r="Y11" s="43"/>
      <c r="Z11" s="44"/>
      <c r="AA11" s="45"/>
      <c r="AB11" s="35"/>
      <c r="AC11" s="25"/>
      <c r="AD11" s="36"/>
      <c r="AE11" s="46"/>
      <c r="AF11" s="47"/>
      <c r="AG11" s="45"/>
      <c r="AH11" s="46"/>
      <c r="AI11" s="47"/>
      <c r="AJ11" s="45"/>
      <c r="AK11" s="46"/>
      <c r="AL11" s="47"/>
      <c r="AM11" s="45"/>
      <c r="AN11" s="46"/>
      <c r="AO11" s="47"/>
      <c r="AP11" s="45"/>
      <c r="AQ11" s="46"/>
      <c r="AR11" s="47"/>
      <c r="AS11" s="45"/>
      <c r="AT11" s="46"/>
      <c r="AU11" s="47"/>
      <c r="AV11" s="45"/>
      <c r="AW11" s="46"/>
      <c r="AX11" s="47"/>
      <c r="AY11" s="45"/>
      <c r="AZ11" s="46"/>
      <c r="BA11" s="47"/>
      <c r="BB11" s="45"/>
      <c r="BC11" s="39">
        <f t="shared" si="0"/>
        <v>0</v>
      </c>
      <c r="BD11" s="40">
        <f t="shared" si="1"/>
        <v>0</v>
      </c>
      <c r="BE11" s="41">
        <f t="shared" si="2"/>
        <v>0</v>
      </c>
    </row>
    <row r="12" spans="1:57" ht="14.25" customHeight="1" x14ac:dyDescent="0.35">
      <c r="A12" s="20"/>
      <c r="B12" s="29"/>
      <c r="C12" s="28"/>
      <c r="D12" s="30"/>
      <c r="E12" s="48"/>
      <c r="F12" s="25"/>
      <c r="G12" s="26"/>
      <c r="H12" s="35"/>
      <c r="I12" s="26"/>
      <c r="J12" s="36"/>
      <c r="K12" s="29"/>
      <c r="L12" s="30"/>
      <c r="M12" s="29"/>
      <c r="N12" s="42"/>
      <c r="O12" s="28"/>
      <c r="P12" s="29"/>
      <c r="Q12" s="28"/>
      <c r="R12" s="30"/>
      <c r="S12" s="29"/>
      <c r="T12" s="28"/>
      <c r="U12" s="31"/>
      <c r="V12" s="29"/>
      <c r="W12" s="28"/>
      <c r="X12" s="31"/>
      <c r="Y12" s="43"/>
      <c r="Z12" s="44"/>
      <c r="AA12" s="45"/>
      <c r="AB12" s="35"/>
      <c r="AC12" s="25"/>
      <c r="AD12" s="36"/>
      <c r="AE12" s="46"/>
      <c r="AF12" s="47"/>
      <c r="AG12" s="45"/>
      <c r="AH12" s="46"/>
      <c r="AI12" s="47"/>
      <c r="AJ12" s="45"/>
      <c r="AK12" s="46"/>
      <c r="AL12" s="47"/>
      <c r="AM12" s="45"/>
      <c r="AN12" s="46"/>
      <c r="AO12" s="47"/>
      <c r="AP12" s="45"/>
      <c r="AQ12" s="46"/>
      <c r="AR12" s="47"/>
      <c r="AS12" s="45"/>
      <c r="AT12" s="46"/>
      <c r="AU12" s="47"/>
      <c r="AV12" s="45"/>
      <c r="AW12" s="46"/>
      <c r="AX12" s="47"/>
      <c r="AY12" s="45"/>
      <c r="AZ12" s="46"/>
      <c r="BA12" s="47"/>
      <c r="BB12" s="45"/>
      <c r="BC12" s="39">
        <f t="shared" si="0"/>
        <v>0</v>
      </c>
      <c r="BD12" s="40">
        <f t="shared" si="1"/>
        <v>0</v>
      </c>
      <c r="BE12" s="41">
        <f t="shared" si="2"/>
        <v>0</v>
      </c>
    </row>
    <row r="13" spans="1:57" ht="14.25" customHeight="1" x14ac:dyDescent="0.35">
      <c r="A13" s="20"/>
      <c r="B13" s="29"/>
      <c r="C13" s="28"/>
      <c r="D13" s="30"/>
      <c r="E13" s="24"/>
      <c r="F13" s="25"/>
      <c r="G13" s="26"/>
      <c r="H13" s="35"/>
      <c r="I13" s="26"/>
      <c r="J13" s="36"/>
      <c r="K13" s="29"/>
      <c r="L13" s="30"/>
      <c r="M13" s="29"/>
      <c r="N13" s="42"/>
      <c r="O13" s="28"/>
      <c r="P13" s="29"/>
      <c r="Q13" s="28"/>
      <c r="R13" s="30"/>
      <c r="S13" s="29"/>
      <c r="T13" s="28"/>
      <c r="U13" s="31"/>
      <c r="V13" s="29"/>
      <c r="W13" s="28"/>
      <c r="X13" s="31"/>
      <c r="Y13" s="43"/>
      <c r="Z13" s="44"/>
      <c r="AA13" s="45"/>
      <c r="AB13" s="35"/>
      <c r="AC13" s="25"/>
      <c r="AD13" s="36"/>
      <c r="AE13" s="46"/>
      <c r="AF13" s="47"/>
      <c r="AG13" s="45"/>
      <c r="AH13" s="46"/>
      <c r="AI13" s="47"/>
      <c r="AJ13" s="45"/>
      <c r="AK13" s="46"/>
      <c r="AL13" s="47"/>
      <c r="AM13" s="45"/>
      <c r="AN13" s="46"/>
      <c r="AO13" s="47"/>
      <c r="AP13" s="45"/>
      <c r="AQ13" s="46"/>
      <c r="AR13" s="47"/>
      <c r="AS13" s="45"/>
      <c r="AT13" s="46"/>
      <c r="AU13" s="47"/>
      <c r="AV13" s="45"/>
      <c r="AW13" s="46"/>
      <c r="AX13" s="47"/>
      <c r="AY13" s="45"/>
      <c r="AZ13" s="46"/>
      <c r="BA13" s="47"/>
      <c r="BB13" s="45"/>
      <c r="BC13" s="39">
        <f t="shared" si="0"/>
        <v>0</v>
      </c>
      <c r="BD13" s="40">
        <f t="shared" si="1"/>
        <v>0</v>
      </c>
      <c r="BE13" s="41">
        <f t="shared" si="2"/>
        <v>0</v>
      </c>
    </row>
    <row r="14" spans="1:57" ht="14.25" customHeight="1" x14ac:dyDescent="0.35">
      <c r="A14" s="20"/>
      <c r="B14" s="29"/>
      <c r="C14" s="28"/>
      <c r="D14" s="30"/>
      <c r="E14" s="24"/>
      <c r="F14" s="25"/>
      <c r="G14" s="26"/>
      <c r="H14" s="35"/>
      <c r="I14" s="26"/>
      <c r="J14" s="36"/>
      <c r="K14" s="29"/>
      <c r="L14" s="30"/>
      <c r="M14" s="29"/>
      <c r="N14" s="42"/>
      <c r="O14" s="28"/>
      <c r="P14" s="29"/>
      <c r="Q14" s="28"/>
      <c r="R14" s="30"/>
      <c r="S14" s="29"/>
      <c r="T14" s="28"/>
      <c r="U14" s="31"/>
      <c r="V14" s="29"/>
      <c r="W14" s="28"/>
      <c r="X14" s="31"/>
      <c r="Y14" s="43"/>
      <c r="Z14" s="44"/>
      <c r="AA14" s="45"/>
      <c r="AB14" s="35"/>
      <c r="AC14" s="25"/>
      <c r="AD14" s="36"/>
      <c r="AE14" s="46"/>
      <c r="AF14" s="47"/>
      <c r="AG14" s="45"/>
      <c r="AH14" s="46"/>
      <c r="AI14" s="47"/>
      <c r="AJ14" s="45"/>
      <c r="AK14" s="46"/>
      <c r="AL14" s="47"/>
      <c r="AM14" s="45"/>
      <c r="AN14" s="46"/>
      <c r="AO14" s="47"/>
      <c r="AP14" s="45"/>
      <c r="AQ14" s="46"/>
      <c r="AR14" s="47"/>
      <c r="AS14" s="45"/>
      <c r="AT14" s="46"/>
      <c r="AU14" s="47"/>
      <c r="AV14" s="45"/>
      <c r="AW14" s="46"/>
      <c r="AX14" s="47"/>
      <c r="AY14" s="45"/>
      <c r="AZ14" s="46"/>
      <c r="BA14" s="47"/>
      <c r="BB14" s="45"/>
      <c r="BC14" s="39">
        <f t="shared" si="0"/>
        <v>0</v>
      </c>
      <c r="BD14" s="40">
        <f t="shared" si="1"/>
        <v>0</v>
      </c>
      <c r="BE14" s="41">
        <f t="shared" si="2"/>
        <v>0</v>
      </c>
    </row>
    <row r="15" spans="1:57" ht="14.25" customHeight="1" x14ac:dyDescent="0.35">
      <c r="A15" s="20"/>
      <c r="B15" s="29"/>
      <c r="C15" s="28"/>
      <c r="D15" s="30"/>
      <c r="E15" s="24"/>
      <c r="F15" s="25"/>
      <c r="G15" s="26"/>
      <c r="H15" s="35"/>
      <c r="I15" s="26"/>
      <c r="J15" s="36"/>
      <c r="K15" s="29"/>
      <c r="L15" s="30"/>
      <c r="M15" s="29"/>
      <c r="N15" s="42"/>
      <c r="O15" s="28"/>
      <c r="P15" s="29"/>
      <c r="Q15" s="28"/>
      <c r="R15" s="30"/>
      <c r="S15" s="29"/>
      <c r="T15" s="28"/>
      <c r="U15" s="31"/>
      <c r="V15" s="29"/>
      <c r="W15" s="28"/>
      <c r="X15" s="31"/>
      <c r="Y15" s="43"/>
      <c r="Z15" s="44"/>
      <c r="AA15" s="49"/>
      <c r="AB15" s="35"/>
      <c r="AC15" s="25"/>
      <c r="AD15" s="36"/>
      <c r="AE15" s="46"/>
      <c r="AF15" s="47"/>
      <c r="AG15" s="45"/>
      <c r="AH15" s="46"/>
      <c r="AI15" s="47"/>
      <c r="AJ15" s="45"/>
      <c r="AK15" s="46"/>
      <c r="AL15" s="47"/>
      <c r="AM15" s="45"/>
      <c r="AN15" s="46"/>
      <c r="AO15" s="47"/>
      <c r="AP15" s="45"/>
      <c r="AQ15" s="46"/>
      <c r="AR15" s="47"/>
      <c r="AS15" s="45"/>
      <c r="AT15" s="46"/>
      <c r="AU15" s="47"/>
      <c r="AV15" s="45"/>
      <c r="AW15" s="46"/>
      <c r="AX15" s="47"/>
      <c r="AY15" s="45"/>
      <c r="AZ15" s="46"/>
      <c r="BA15" s="47"/>
      <c r="BB15" s="45"/>
      <c r="BC15" s="39">
        <f t="shared" si="0"/>
        <v>0</v>
      </c>
      <c r="BD15" s="40">
        <f t="shared" si="1"/>
        <v>0</v>
      </c>
      <c r="BE15" s="41">
        <f t="shared" si="2"/>
        <v>0</v>
      </c>
    </row>
    <row r="16" spans="1:57" ht="14.25" customHeight="1" x14ac:dyDescent="0.35">
      <c r="A16" s="20"/>
      <c r="B16" s="29"/>
      <c r="C16" s="28"/>
      <c r="D16" s="30"/>
      <c r="E16" s="24"/>
      <c r="F16" s="25"/>
      <c r="G16" s="26"/>
      <c r="H16" s="35"/>
      <c r="I16" s="26"/>
      <c r="J16" s="36"/>
      <c r="K16" s="29"/>
      <c r="L16" s="30"/>
      <c r="M16" s="29"/>
      <c r="N16" s="42"/>
      <c r="O16" s="28"/>
      <c r="P16" s="29"/>
      <c r="Q16" s="28"/>
      <c r="R16" s="30"/>
      <c r="S16" s="29"/>
      <c r="T16" s="28"/>
      <c r="U16" s="31"/>
      <c r="V16" s="29"/>
      <c r="W16" s="28"/>
      <c r="X16" s="31"/>
      <c r="Y16" s="43"/>
      <c r="Z16" s="44"/>
      <c r="AA16" s="45"/>
      <c r="AB16" s="35"/>
      <c r="AC16" s="25"/>
      <c r="AD16" s="36"/>
      <c r="AE16" s="46"/>
      <c r="AF16" s="47"/>
      <c r="AG16" s="45"/>
      <c r="AH16" s="46"/>
      <c r="AI16" s="47"/>
      <c r="AJ16" s="45"/>
      <c r="AK16" s="46"/>
      <c r="AL16" s="47"/>
      <c r="AM16" s="45"/>
      <c r="AN16" s="46"/>
      <c r="AO16" s="47"/>
      <c r="AP16" s="45"/>
      <c r="AQ16" s="46"/>
      <c r="AR16" s="47"/>
      <c r="AS16" s="45"/>
      <c r="AT16" s="46"/>
      <c r="AU16" s="47"/>
      <c r="AV16" s="45"/>
      <c r="AW16" s="46"/>
      <c r="AX16" s="47"/>
      <c r="AY16" s="45"/>
      <c r="AZ16" s="46"/>
      <c r="BA16" s="47"/>
      <c r="BB16" s="45"/>
      <c r="BC16" s="39">
        <f t="shared" si="0"/>
        <v>0</v>
      </c>
      <c r="BD16" s="40">
        <f t="shared" si="1"/>
        <v>0</v>
      </c>
      <c r="BE16" s="41">
        <f t="shared" si="2"/>
        <v>0</v>
      </c>
    </row>
    <row r="17" spans="1:57" ht="14.25" customHeight="1" x14ac:dyDescent="0.35">
      <c r="A17" s="20"/>
      <c r="B17" s="29"/>
      <c r="C17" s="28"/>
      <c r="D17" s="30"/>
      <c r="E17" s="24"/>
      <c r="F17" s="25"/>
      <c r="G17" s="26"/>
      <c r="H17" s="35"/>
      <c r="I17" s="26"/>
      <c r="J17" s="36"/>
      <c r="K17" s="29"/>
      <c r="L17" s="30"/>
      <c r="M17" s="29"/>
      <c r="N17" s="42"/>
      <c r="O17" s="28"/>
      <c r="P17" s="29"/>
      <c r="Q17" s="28"/>
      <c r="R17" s="30"/>
      <c r="S17" s="29"/>
      <c r="T17" s="28"/>
      <c r="U17" s="31"/>
      <c r="V17" s="29"/>
      <c r="W17" s="28"/>
      <c r="X17" s="31"/>
      <c r="Y17" s="43"/>
      <c r="Z17" s="44"/>
      <c r="AA17" s="45"/>
      <c r="AB17" s="35"/>
      <c r="AC17" s="25"/>
      <c r="AD17" s="36"/>
      <c r="AE17" s="46"/>
      <c r="AF17" s="47"/>
      <c r="AG17" s="45"/>
      <c r="AH17" s="46"/>
      <c r="AI17" s="47"/>
      <c r="AJ17" s="45"/>
      <c r="AK17" s="46"/>
      <c r="AL17" s="47"/>
      <c r="AM17" s="45"/>
      <c r="AN17" s="46"/>
      <c r="AO17" s="47"/>
      <c r="AP17" s="45"/>
      <c r="AQ17" s="46"/>
      <c r="AR17" s="47"/>
      <c r="AS17" s="45"/>
      <c r="AT17" s="46"/>
      <c r="AU17" s="47"/>
      <c r="AV17" s="45"/>
      <c r="AW17" s="46"/>
      <c r="AX17" s="47"/>
      <c r="AY17" s="45"/>
      <c r="AZ17" s="46"/>
      <c r="BA17" s="47"/>
      <c r="BB17" s="45"/>
      <c r="BC17" s="39">
        <f t="shared" si="0"/>
        <v>0</v>
      </c>
      <c r="BD17" s="40">
        <f t="shared" si="1"/>
        <v>0</v>
      </c>
      <c r="BE17" s="41">
        <f t="shared" si="2"/>
        <v>0</v>
      </c>
    </row>
    <row r="18" spans="1:57" ht="14.25" customHeight="1" x14ac:dyDescent="0.35">
      <c r="A18" s="20"/>
      <c r="B18" s="29"/>
      <c r="C18" s="28"/>
      <c r="D18" s="30"/>
      <c r="E18" s="24"/>
      <c r="F18" s="25"/>
      <c r="G18" s="26"/>
      <c r="H18" s="35"/>
      <c r="I18" s="26"/>
      <c r="J18" s="36"/>
      <c r="K18" s="29"/>
      <c r="L18" s="30"/>
      <c r="M18" s="29"/>
      <c r="N18" s="42"/>
      <c r="O18" s="28"/>
      <c r="P18" s="29"/>
      <c r="Q18" s="28"/>
      <c r="R18" s="30"/>
      <c r="S18" s="29"/>
      <c r="T18" s="28"/>
      <c r="U18" s="31"/>
      <c r="V18" s="29"/>
      <c r="W18" s="28"/>
      <c r="X18" s="31"/>
      <c r="Y18" s="29"/>
      <c r="Z18" s="28"/>
      <c r="AA18" s="31"/>
      <c r="AB18" s="35"/>
      <c r="AC18" s="25"/>
      <c r="AD18" s="36"/>
      <c r="AE18" s="46"/>
      <c r="AF18" s="47"/>
      <c r="AG18" s="45"/>
      <c r="AH18" s="46"/>
      <c r="AI18" s="47"/>
      <c r="AJ18" s="45"/>
      <c r="AK18" s="46"/>
      <c r="AL18" s="47"/>
      <c r="AM18" s="45"/>
      <c r="AN18" s="46"/>
      <c r="AO18" s="47"/>
      <c r="AP18" s="45"/>
      <c r="AQ18" s="46"/>
      <c r="AR18" s="47"/>
      <c r="AS18" s="45"/>
      <c r="AT18" s="46"/>
      <c r="AU18" s="47"/>
      <c r="AV18" s="45"/>
      <c r="AW18" s="46"/>
      <c r="AX18" s="47"/>
      <c r="AY18" s="45"/>
      <c r="AZ18" s="46"/>
      <c r="BA18" s="47"/>
      <c r="BB18" s="47"/>
      <c r="BC18" s="39">
        <f t="shared" si="0"/>
        <v>0</v>
      </c>
      <c r="BD18" s="40">
        <f t="shared" si="1"/>
        <v>0</v>
      </c>
      <c r="BE18" s="41">
        <f t="shared" si="2"/>
        <v>0</v>
      </c>
    </row>
    <row r="19" spans="1:57" ht="14.25" customHeight="1" x14ac:dyDescent="0.35">
      <c r="A19" s="20"/>
      <c r="B19" s="29"/>
      <c r="C19" s="28"/>
      <c r="D19" s="30"/>
      <c r="E19" s="24"/>
      <c r="F19" s="25"/>
      <c r="G19" s="26"/>
      <c r="H19" s="35"/>
      <c r="I19" s="26"/>
      <c r="J19" s="36"/>
      <c r="K19" s="29"/>
      <c r="L19" s="30"/>
      <c r="M19" s="29"/>
      <c r="N19" s="42"/>
      <c r="O19" s="28"/>
      <c r="P19" s="29"/>
      <c r="Q19" s="42"/>
      <c r="R19" s="28"/>
      <c r="S19" s="29"/>
      <c r="T19" s="42"/>
      <c r="U19" s="28"/>
      <c r="V19" s="29"/>
      <c r="W19" s="42"/>
      <c r="X19" s="28"/>
      <c r="Y19" s="50"/>
      <c r="Z19" s="42"/>
      <c r="AA19" s="28"/>
      <c r="AB19" s="29"/>
      <c r="AC19" s="42"/>
      <c r="AD19" s="28"/>
      <c r="AE19" s="29"/>
      <c r="AF19" s="42"/>
      <c r="AG19" s="28"/>
      <c r="AH19" s="29"/>
      <c r="AI19" s="42"/>
      <c r="AJ19" s="28"/>
      <c r="AK19" s="29"/>
      <c r="AL19" s="42"/>
      <c r="AM19" s="28"/>
      <c r="AN19" s="29"/>
      <c r="AO19" s="42"/>
      <c r="AP19" s="28"/>
      <c r="AQ19" s="29"/>
      <c r="AR19" s="42"/>
      <c r="AS19" s="28"/>
      <c r="AT19" s="29"/>
      <c r="AU19" s="42"/>
      <c r="AV19" s="28"/>
      <c r="AW19" s="29"/>
      <c r="AX19" s="42"/>
      <c r="AY19" s="28"/>
      <c r="AZ19" s="29"/>
      <c r="BA19" s="47"/>
      <c r="BB19" s="47"/>
      <c r="BC19" s="39">
        <f t="shared" si="0"/>
        <v>0</v>
      </c>
      <c r="BD19" s="40">
        <f t="shared" si="1"/>
        <v>0</v>
      </c>
      <c r="BE19" s="41">
        <f t="shared" si="2"/>
        <v>0</v>
      </c>
    </row>
    <row r="20" spans="1:57" ht="14.25" customHeight="1" x14ac:dyDescent="0.35">
      <c r="A20" s="20"/>
      <c r="B20" s="29"/>
      <c r="C20" s="28"/>
      <c r="D20" s="30"/>
      <c r="E20" s="24"/>
      <c r="F20" s="25"/>
      <c r="G20" s="26"/>
      <c r="H20" s="35"/>
      <c r="I20" s="26"/>
      <c r="J20" s="36"/>
      <c r="K20" s="29"/>
      <c r="L20" s="30"/>
      <c r="M20" s="29"/>
      <c r="N20" s="42"/>
      <c r="O20" s="28"/>
      <c r="P20" s="29"/>
      <c r="Q20" s="28"/>
      <c r="R20" s="30"/>
      <c r="S20" s="29"/>
      <c r="T20" s="28"/>
      <c r="U20" s="31"/>
      <c r="V20" s="29"/>
      <c r="W20" s="28"/>
      <c r="X20" s="31"/>
      <c r="Y20" s="43"/>
      <c r="Z20" s="44"/>
      <c r="AA20" s="45"/>
      <c r="AB20" s="35"/>
      <c r="AC20" s="25"/>
      <c r="AD20" s="36"/>
      <c r="AE20" s="46"/>
      <c r="AF20" s="47"/>
      <c r="AG20" s="45"/>
      <c r="AH20" s="46"/>
      <c r="AI20" s="47"/>
      <c r="AJ20" s="45"/>
      <c r="AK20" s="46"/>
      <c r="AL20" s="47"/>
      <c r="AM20" s="45"/>
      <c r="AN20" s="46"/>
      <c r="AO20" s="47"/>
      <c r="AP20" s="45"/>
      <c r="AQ20" s="46"/>
      <c r="AR20" s="47"/>
      <c r="AS20" s="45"/>
      <c r="AT20" s="46"/>
      <c r="AU20" s="47"/>
      <c r="AV20" s="45"/>
      <c r="AW20" s="46"/>
      <c r="AX20" s="47"/>
      <c r="AY20" s="45"/>
      <c r="AZ20" s="46"/>
      <c r="BA20" s="47"/>
      <c r="BB20" s="47"/>
      <c r="BC20" s="39">
        <f t="shared" si="0"/>
        <v>0</v>
      </c>
      <c r="BD20" s="40">
        <f t="shared" si="1"/>
        <v>0</v>
      </c>
      <c r="BE20" s="41">
        <f t="shared" si="2"/>
        <v>0</v>
      </c>
    </row>
    <row r="21" spans="1:57" ht="14.25" customHeight="1" x14ac:dyDescent="0.35">
      <c r="A21" s="20"/>
      <c r="B21" s="29"/>
      <c r="C21" s="28"/>
      <c r="D21" s="30"/>
      <c r="E21" s="24"/>
      <c r="F21" s="25"/>
      <c r="G21" s="26"/>
      <c r="H21" s="35"/>
      <c r="I21" s="26"/>
      <c r="J21" s="36"/>
      <c r="K21" s="29"/>
      <c r="L21" s="30"/>
      <c r="M21" s="29"/>
      <c r="N21" s="42"/>
      <c r="O21" s="28"/>
      <c r="P21" s="29"/>
      <c r="Q21" s="28"/>
      <c r="R21" s="30"/>
      <c r="S21" s="29"/>
      <c r="T21" s="28"/>
      <c r="U21" s="31"/>
      <c r="V21" s="29"/>
      <c r="W21" s="28"/>
      <c r="X21" s="31"/>
      <c r="Y21" s="43"/>
      <c r="Z21" s="44"/>
      <c r="AA21" s="45"/>
      <c r="AB21" s="35"/>
      <c r="AC21" s="25"/>
      <c r="AD21" s="36"/>
      <c r="AE21" s="46"/>
      <c r="AF21" s="47"/>
      <c r="AG21" s="45"/>
      <c r="AH21" s="46"/>
      <c r="AI21" s="47"/>
      <c r="AJ21" s="45"/>
      <c r="AK21" s="46"/>
      <c r="AL21" s="47"/>
      <c r="AM21" s="45"/>
      <c r="AN21" s="46"/>
      <c r="AO21" s="47"/>
      <c r="AP21" s="45"/>
      <c r="AQ21" s="46"/>
      <c r="AR21" s="47"/>
      <c r="AS21" s="45"/>
      <c r="AT21" s="46"/>
      <c r="AU21" s="47"/>
      <c r="AV21" s="45"/>
      <c r="AW21" s="46"/>
      <c r="AX21" s="47"/>
      <c r="AY21" s="45"/>
      <c r="AZ21" s="46"/>
      <c r="BA21" s="47"/>
      <c r="BB21" s="45"/>
      <c r="BC21" s="39">
        <f>+B21+H21+K21+M21+AB21+E21+P21+S21+AZ21+AE21+V21+AH21+AK21+AW21+AN21+AQ21+Y21</f>
        <v>0</v>
      </c>
      <c r="BD21" s="40">
        <f t="shared" si="1"/>
        <v>0</v>
      </c>
      <c r="BE21" s="41">
        <f t="shared" si="2"/>
        <v>0</v>
      </c>
    </row>
    <row r="22" spans="1:57" ht="14.25" customHeight="1" x14ac:dyDescent="0.35">
      <c r="A22" s="20"/>
      <c r="B22" s="29"/>
      <c r="C22" s="28"/>
      <c r="D22" s="30"/>
      <c r="E22" s="24"/>
      <c r="F22" s="25"/>
      <c r="G22" s="26"/>
      <c r="H22" s="35"/>
      <c r="I22" s="26"/>
      <c r="J22" s="36"/>
      <c r="K22" s="29"/>
      <c r="L22" s="30"/>
      <c r="M22" s="29"/>
      <c r="N22" s="42"/>
      <c r="O22" s="28"/>
      <c r="P22" s="29"/>
      <c r="Q22" s="28"/>
      <c r="R22" s="30"/>
      <c r="S22" s="29"/>
      <c r="T22" s="28"/>
      <c r="U22" s="31"/>
      <c r="V22" s="29"/>
      <c r="W22" s="28"/>
      <c r="X22" s="31"/>
      <c r="Y22" s="43"/>
      <c r="Z22" s="44"/>
      <c r="AA22" s="45"/>
      <c r="AB22" s="35"/>
      <c r="AC22" s="25"/>
      <c r="AD22" s="36"/>
      <c r="AE22" s="46"/>
      <c r="AF22" s="47"/>
      <c r="AG22" s="45"/>
      <c r="AH22" s="46"/>
      <c r="AI22" s="47"/>
      <c r="AJ22" s="45"/>
      <c r="AK22" s="46"/>
      <c r="AL22" s="47"/>
      <c r="AM22" s="45"/>
      <c r="AN22" s="46"/>
      <c r="AO22" s="47"/>
      <c r="AP22" s="45"/>
      <c r="AQ22" s="46"/>
      <c r="AR22" s="47"/>
      <c r="AS22" s="45"/>
      <c r="AT22" s="46"/>
      <c r="AU22" s="47"/>
      <c r="AV22" s="45"/>
      <c r="AW22" s="46"/>
      <c r="AX22" s="47"/>
      <c r="AY22" s="45"/>
      <c r="AZ22" s="46"/>
      <c r="BA22" s="47"/>
      <c r="BB22" s="45"/>
      <c r="BC22" s="39">
        <f>+B22+H22+K22+M22+AB22+E22+P22+S22+AZ22+AE22+V22+AH22+AK22+AW22+AN22+AQ22+Y22</f>
        <v>0</v>
      </c>
      <c r="BD22" s="40">
        <f t="shared" si="1"/>
        <v>0</v>
      </c>
      <c r="BE22" s="41">
        <f t="shared" si="2"/>
        <v>0</v>
      </c>
    </row>
    <row r="23" spans="1:57" ht="14.25" customHeight="1" x14ac:dyDescent="0.35">
      <c r="A23" s="20"/>
      <c r="B23" s="29"/>
      <c r="C23" s="28"/>
      <c r="D23" s="30"/>
      <c r="E23" s="24"/>
      <c r="F23" s="25"/>
      <c r="G23" s="26"/>
      <c r="H23" s="35"/>
      <c r="I23" s="26"/>
      <c r="J23" s="36"/>
      <c r="K23" s="29"/>
      <c r="L23" s="30"/>
      <c r="M23" s="29"/>
      <c r="N23" s="42"/>
      <c r="O23" s="28"/>
      <c r="P23" s="29"/>
      <c r="Q23" s="28"/>
      <c r="R23" s="30"/>
      <c r="S23" s="29"/>
      <c r="T23" s="28"/>
      <c r="U23" s="31"/>
      <c r="V23" s="29"/>
      <c r="W23" s="28"/>
      <c r="X23" s="31"/>
      <c r="Y23" s="43"/>
      <c r="Z23" s="44"/>
      <c r="AA23" s="45"/>
      <c r="AB23" s="35"/>
      <c r="AC23" s="25"/>
      <c r="AD23" s="36"/>
      <c r="AE23" s="46"/>
      <c r="AF23" s="47"/>
      <c r="AG23" s="45"/>
      <c r="AH23" s="46"/>
      <c r="AI23" s="47"/>
      <c r="AJ23" s="45"/>
      <c r="AK23" s="46"/>
      <c r="AL23" s="47"/>
      <c r="AM23" s="45"/>
      <c r="AN23" s="46"/>
      <c r="AO23" s="47"/>
      <c r="AP23" s="45"/>
      <c r="AQ23" s="46"/>
      <c r="AR23" s="47"/>
      <c r="AS23" s="45"/>
      <c r="AT23" s="46"/>
      <c r="AU23" s="47"/>
      <c r="AV23" s="45"/>
      <c r="AW23" s="46"/>
      <c r="AX23" s="47"/>
      <c r="AY23" s="45"/>
      <c r="AZ23" s="46"/>
      <c r="BA23" s="47"/>
      <c r="BB23" s="45"/>
      <c r="BC23" s="39">
        <f>+B23+H23+K23+M23+AB23+E23+P23+S23+AZ23+AE23+V23+AH23+AK23+AW23+AN23+AQ23+Y23</f>
        <v>0</v>
      </c>
      <c r="BD23" s="40">
        <f t="shared" si="1"/>
        <v>0</v>
      </c>
      <c r="BE23" s="41">
        <f t="shared" si="2"/>
        <v>0</v>
      </c>
    </row>
    <row r="24" spans="1:57" ht="14.25" customHeight="1" x14ac:dyDescent="0.35">
      <c r="A24" s="20"/>
      <c r="B24" s="29"/>
      <c r="C24" s="28"/>
      <c r="D24" s="30"/>
      <c r="E24" s="24"/>
      <c r="F24" s="25"/>
      <c r="G24" s="26"/>
      <c r="H24" s="35"/>
      <c r="I24" s="26"/>
      <c r="J24" s="36"/>
      <c r="K24" s="29"/>
      <c r="L24" s="30"/>
      <c r="M24" s="29"/>
      <c r="N24" s="42"/>
      <c r="O24" s="28"/>
      <c r="P24" s="29"/>
      <c r="Q24" s="28"/>
      <c r="R24" s="30"/>
      <c r="S24" s="29"/>
      <c r="T24" s="28"/>
      <c r="U24" s="31"/>
      <c r="V24" s="29"/>
      <c r="W24" s="28"/>
      <c r="X24" s="31"/>
      <c r="Y24" s="43"/>
      <c r="Z24" s="44"/>
      <c r="AA24" s="45"/>
      <c r="AB24" s="35"/>
      <c r="AC24" s="25"/>
      <c r="AD24" s="36"/>
      <c r="AE24" s="46"/>
      <c r="AF24" s="47"/>
      <c r="AG24" s="45"/>
      <c r="AH24" s="46"/>
      <c r="AI24" s="47"/>
      <c r="AJ24" s="45"/>
      <c r="AK24" s="46"/>
      <c r="AL24" s="47"/>
      <c r="AM24" s="45"/>
      <c r="AN24" s="46"/>
      <c r="AO24" s="47"/>
      <c r="AP24" s="45"/>
      <c r="AQ24" s="46"/>
      <c r="AR24" s="47"/>
      <c r="AS24" s="45"/>
      <c r="AT24" s="46"/>
      <c r="AU24" s="47"/>
      <c r="AV24" s="45"/>
      <c r="AW24" s="46"/>
      <c r="AX24" s="47"/>
      <c r="AY24" s="45"/>
      <c r="AZ24" s="46"/>
      <c r="BA24" s="47"/>
      <c r="BB24" s="45"/>
      <c r="BC24" s="39">
        <f t="shared" ref="BC24:BC35" si="3">+B24+H24+K24+M24+AB24+E24+P24+S24+AZ24+AE24+V24+AH24+AK24+AW24+AN24+AQ24+Y24</f>
        <v>0</v>
      </c>
      <c r="BD24" s="40">
        <f t="shared" si="1"/>
        <v>0</v>
      </c>
      <c r="BE24" s="41">
        <f t="shared" si="2"/>
        <v>0</v>
      </c>
    </row>
    <row r="25" spans="1:57" ht="14.25" customHeight="1" x14ac:dyDescent="0.35">
      <c r="A25" s="20"/>
      <c r="B25" s="29"/>
      <c r="C25" s="28"/>
      <c r="D25" s="30"/>
      <c r="E25" s="24"/>
      <c r="F25" s="25"/>
      <c r="G25" s="26"/>
      <c r="H25" s="35"/>
      <c r="I25" s="26"/>
      <c r="J25" s="36"/>
      <c r="K25" s="29"/>
      <c r="L25" s="30"/>
      <c r="M25" s="29"/>
      <c r="N25" s="42"/>
      <c r="O25" s="28"/>
      <c r="P25" s="29"/>
      <c r="Q25" s="28"/>
      <c r="R25" s="30"/>
      <c r="S25" s="29"/>
      <c r="T25" s="28"/>
      <c r="U25" s="31"/>
      <c r="V25" s="29"/>
      <c r="W25" s="28"/>
      <c r="X25" s="31"/>
      <c r="Y25" s="43"/>
      <c r="Z25" s="44"/>
      <c r="AA25" s="45"/>
      <c r="AB25" s="35"/>
      <c r="AC25" s="25"/>
      <c r="AD25" s="36"/>
      <c r="AE25" s="46"/>
      <c r="AF25" s="47"/>
      <c r="AG25" s="45"/>
      <c r="AH25" s="46"/>
      <c r="AI25" s="47"/>
      <c r="AJ25" s="45"/>
      <c r="AK25" s="46"/>
      <c r="AL25" s="47"/>
      <c r="AM25" s="45"/>
      <c r="AN25" s="46"/>
      <c r="AO25" s="47"/>
      <c r="AP25" s="45"/>
      <c r="AQ25" s="46"/>
      <c r="AR25" s="47"/>
      <c r="AS25" s="45"/>
      <c r="AT25" s="46"/>
      <c r="AU25" s="47"/>
      <c r="AV25" s="45"/>
      <c r="AW25" s="46"/>
      <c r="AX25" s="47"/>
      <c r="AY25" s="45"/>
      <c r="AZ25" s="46"/>
      <c r="BA25" s="47"/>
      <c r="BB25" s="45"/>
      <c r="BC25" s="39">
        <f t="shared" si="3"/>
        <v>0</v>
      </c>
      <c r="BD25" s="40">
        <f t="shared" si="1"/>
        <v>0</v>
      </c>
      <c r="BE25" s="41">
        <f t="shared" si="2"/>
        <v>0</v>
      </c>
    </row>
    <row r="26" spans="1:57" ht="14.25" customHeight="1" x14ac:dyDescent="0.35">
      <c r="A26" s="20"/>
      <c r="B26" s="29"/>
      <c r="C26" s="28"/>
      <c r="D26" s="30"/>
      <c r="E26" s="24"/>
      <c r="F26" s="25"/>
      <c r="G26" s="26"/>
      <c r="H26" s="35"/>
      <c r="I26" s="26"/>
      <c r="J26" s="36"/>
      <c r="K26" s="29"/>
      <c r="L26" s="30"/>
      <c r="M26" s="29"/>
      <c r="N26" s="42"/>
      <c r="O26" s="28"/>
      <c r="P26" s="29"/>
      <c r="Q26" s="28"/>
      <c r="R26" s="30"/>
      <c r="S26" s="29"/>
      <c r="T26" s="28"/>
      <c r="U26" s="31"/>
      <c r="V26" s="29"/>
      <c r="W26" s="28"/>
      <c r="X26" s="31"/>
      <c r="Y26" s="43"/>
      <c r="Z26" s="44"/>
      <c r="AA26" s="45"/>
      <c r="AB26" s="35"/>
      <c r="AC26" s="25"/>
      <c r="AD26" s="36"/>
      <c r="AE26" s="46"/>
      <c r="AF26" s="47"/>
      <c r="AG26" s="45"/>
      <c r="AH26" s="46"/>
      <c r="AI26" s="47"/>
      <c r="AJ26" s="45"/>
      <c r="AK26" s="46"/>
      <c r="AL26" s="47"/>
      <c r="AM26" s="45"/>
      <c r="AN26" s="46"/>
      <c r="AO26" s="47"/>
      <c r="AP26" s="45"/>
      <c r="AQ26" s="46"/>
      <c r="AR26" s="47"/>
      <c r="AS26" s="45"/>
      <c r="AT26" s="46"/>
      <c r="AU26" s="47"/>
      <c r="AV26" s="45"/>
      <c r="AW26" s="46"/>
      <c r="AX26" s="47"/>
      <c r="AY26" s="45"/>
      <c r="AZ26" s="46"/>
      <c r="BA26" s="47"/>
      <c r="BB26" s="45"/>
      <c r="BC26" s="39">
        <f t="shared" si="3"/>
        <v>0</v>
      </c>
      <c r="BD26" s="40">
        <f t="shared" si="1"/>
        <v>0</v>
      </c>
      <c r="BE26" s="41">
        <f>+G26+AD26+D26+R26+J26+U26+O26+BB26+AG26+X26+AJ26+AM26+AY26+AP26+AS26+AA26+AV26</f>
        <v>0</v>
      </c>
    </row>
    <row r="27" spans="1:57" ht="14.25" customHeight="1" x14ac:dyDescent="0.35">
      <c r="A27" s="20"/>
      <c r="B27" s="29"/>
      <c r="C27" s="28"/>
      <c r="D27" s="30"/>
      <c r="E27" s="24"/>
      <c r="F27" s="25"/>
      <c r="G27" s="26"/>
      <c r="H27" s="35"/>
      <c r="I27" s="26"/>
      <c r="J27" s="36"/>
      <c r="K27" s="29"/>
      <c r="L27" s="30"/>
      <c r="M27" s="29"/>
      <c r="N27" s="42"/>
      <c r="O27" s="28"/>
      <c r="P27" s="29"/>
      <c r="Q27" s="28"/>
      <c r="R27" s="30"/>
      <c r="S27" s="29"/>
      <c r="T27" s="28"/>
      <c r="U27" s="31"/>
      <c r="V27" s="29"/>
      <c r="W27" s="28"/>
      <c r="X27" s="31"/>
      <c r="Y27" s="43"/>
      <c r="Z27" s="44"/>
      <c r="AA27" s="45"/>
      <c r="AB27" s="35"/>
      <c r="AC27" s="25"/>
      <c r="AD27" s="36"/>
      <c r="AE27" s="46"/>
      <c r="AF27" s="47"/>
      <c r="AG27" s="45"/>
      <c r="AH27" s="46"/>
      <c r="AI27" s="47"/>
      <c r="AJ27" s="45"/>
      <c r="AK27" s="46"/>
      <c r="AL27" s="47"/>
      <c r="AM27" s="45"/>
      <c r="AN27" s="46"/>
      <c r="AO27" s="47"/>
      <c r="AP27" s="45"/>
      <c r="AQ27" s="46"/>
      <c r="AR27" s="47"/>
      <c r="AS27" s="45"/>
      <c r="AT27" s="46"/>
      <c r="AU27" s="47"/>
      <c r="AV27" s="45"/>
      <c r="AW27" s="46"/>
      <c r="AX27" s="47"/>
      <c r="AY27" s="45"/>
      <c r="AZ27" s="46"/>
      <c r="BA27" s="47"/>
      <c r="BB27" s="45"/>
      <c r="BC27" s="39">
        <f t="shared" si="3"/>
        <v>0</v>
      </c>
      <c r="BD27" s="40">
        <f t="shared" si="1"/>
        <v>0</v>
      </c>
      <c r="BE27" s="41">
        <f t="shared" si="2"/>
        <v>0</v>
      </c>
    </row>
    <row r="28" spans="1:57" ht="14.25" customHeight="1" x14ac:dyDescent="0.35">
      <c r="A28" s="20"/>
      <c r="B28" s="29"/>
      <c r="C28" s="28"/>
      <c r="D28" s="30"/>
      <c r="E28" s="24"/>
      <c r="F28" s="25"/>
      <c r="G28" s="26"/>
      <c r="H28" s="35"/>
      <c r="I28" s="26"/>
      <c r="J28" s="36"/>
      <c r="K28" s="29"/>
      <c r="L28" s="30"/>
      <c r="M28" s="29"/>
      <c r="N28" s="42"/>
      <c r="O28" s="28"/>
      <c r="P28" s="29"/>
      <c r="Q28" s="28"/>
      <c r="R28" s="30"/>
      <c r="S28" s="29"/>
      <c r="T28" s="28"/>
      <c r="U28" s="31"/>
      <c r="V28" s="29"/>
      <c r="W28" s="28"/>
      <c r="X28" s="31"/>
      <c r="Y28" s="43"/>
      <c r="Z28" s="44"/>
      <c r="AA28" s="45"/>
      <c r="AB28" s="35"/>
      <c r="AC28" s="25"/>
      <c r="AD28" s="36"/>
      <c r="AE28" s="46"/>
      <c r="AF28" s="47"/>
      <c r="AG28" s="45"/>
      <c r="AH28" s="46"/>
      <c r="AI28" s="47"/>
      <c r="AJ28" s="45"/>
      <c r="AK28" s="46"/>
      <c r="AL28" s="47"/>
      <c r="AM28" s="45"/>
      <c r="AN28" s="46"/>
      <c r="AO28" s="47"/>
      <c r="AP28" s="45"/>
      <c r="AQ28" s="46"/>
      <c r="AR28" s="47"/>
      <c r="AS28" s="45"/>
      <c r="AT28" s="46"/>
      <c r="AU28" s="47"/>
      <c r="AV28" s="45"/>
      <c r="AW28" s="46"/>
      <c r="AX28" s="47"/>
      <c r="AY28" s="45"/>
      <c r="AZ28" s="46"/>
      <c r="BA28" s="47"/>
      <c r="BB28" s="45"/>
      <c r="BC28" s="39">
        <f t="shared" si="3"/>
        <v>0</v>
      </c>
      <c r="BD28" s="40">
        <f t="shared" si="1"/>
        <v>0</v>
      </c>
      <c r="BE28" s="41">
        <f t="shared" si="2"/>
        <v>0</v>
      </c>
    </row>
    <row r="29" spans="1:57" ht="14.25" customHeight="1" x14ac:dyDescent="0.35">
      <c r="A29" s="20"/>
      <c r="B29" s="35"/>
      <c r="C29" s="51"/>
      <c r="D29" s="45"/>
      <c r="E29" s="24"/>
      <c r="F29" s="24"/>
      <c r="G29" s="52"/>
      <c r="H29" s="35"/>
      <c r="I29" s="51"/>
      <c r="J29" s="52"/>
      <c r="K29" s="35"/>
      <c r="L29" s="52"/>
      <c r="M29" s="35"/>
      <c r="N29" s="51"/>
      <c r="O29" s="52"/>
      <c r="P29" s="35"/>
      <c r="Q29" s="52"/>
      <c r="R29" s="52"/>
      <c r="S29" s="35"/>
      <c r="T29" s="53"/>
      <c r="U29" s="52"/>
      <c r="V29" s="35"/>
      <c r="W29" s="52"/>
      <c r="X29" s="52"/>
      <c r="Y29" s="46"/>
      <c r="Z29" s="53"/>
      <c r="AA29" s="52"/>
      <c r="AB29" s="35"/>
      <c r="AC29" s="24"/>
      <c r="AD29" s="52"/>
      <c r="AE29" s="43"/>
      <c r="AF29" s="52"/>
      <c r="AG29" s="52"/>
      <c r="AH29" s="43"/>
      <c r="AI29" s="52"/>
      <c r="AJ29" s="52"/>
      <c r="AK29" s="43"/>
      <c r="AL29" s="52"/>
      <c r="AM29" s="52"/>
      <c r="AN29" s="43"/>
      <c r="AO29" s="52"/>
      <c r="AP29" s="52"/>
      <c r="AQ29" s="46"/>
      <c r="AR29" s="53"/>
      <c r="AS29" s="52"/>
      <c r="AT29" s="43"/>
      <c r="AU29" s="52"/>
      <c r="AV29" s="52"/>
      <c r="AW29" s="43"/>
      <c r="AX29" s="52"/>
      <c r="AY29" s="52"/>
      <c r="AZ29" s="43"/>
      <c r="BA29" s="52"/>
      <c r="BB29" s="52"/>
      <c r="BC29" s="54">
        <f t="shared" si="3"/>
        <v>0</v>
      </c>
      <c r="BD29" s="55">
        <f t="shared" si="1"/>
        <v>0</v>
      </c>
      <c r="BE29" s="41">
        <f t="shared" si="2"/>
        <v>0</v>
      </c>
    </row>
    <row r="30" spans="1:57" ht="14.25" customHeight="1" x14ac:dyDescent="0.35">
      <c r="A30" s="20"/>
      <c r="B30" s="35"/>
      <c r="C30" s="51"/>
      <c r="D30" s="45"/>
      <c r="E30" s="24"/>
      <c r="F30" s="24"/>
      <c r="G30" s="52"/>
      <c r="H30" s="35"/>
      <c r="I30" s="51"/>
      <c r="J30" s="52"/>
      <c r="K30" s="35"/>
      <c r="L30" s="52"/>
      <c r="M30" s="35"/>
      <c r="N30" s="51"/>
      <c r="O30" s="52"/>
      <c r="P30" s="35"/>
      <c r="Q30" s="52"/>
      <c r="R30" s="52"/>
      <c r="S30" s="35"/>
      <c r="T30" s="53"/>
      <c r="U30" s="52"/>
      <c r="V30" s="35"/>
      <c r="W30" s="52"/>
      <c r="X30" s="52"/>
      <c r="Y30" s="46"/>
      <c r="Z30" s="53"/>
      <c r="AA30" s="52"/>
      <c r="AB30" s="35"/>
      <c r="AC30" s="24"/>
      <c r="AD30" s="52"/>
      <c r="AE30" s="43"/>
      <c r="AF30" s="52"/>
      <c r="AG30" s="52"/>
      <c r="AH30" s="43"/>
      <c r="AI30" s="52"/>
      <c r="AJ30" s="52"/>
      <c r="AK30" s="43"/>
      <c r="AL30" s="52"/>
      <c r="AM30" s="52"/>
      <c r="AN30" s="43"/>
      <c r="AO30" s="52"/>
      <c r="AP30" s="52"/>
      <c r="AQ30" s="46"/>
      <c r="AR30" s="53"/>
      <c r="AS30" s="52"/>
      <c r="AT30" s="43"/>
      <c r="AU30" s="52"/>
      <c r="AV30" s="52"/>
      <c r="AW30" s="43"/>
      <c r="AX30" s="52"/>
      <c r="AY30" s="52"/>
      <c r="AZ30" s="43"/>
      <c r="BA30" s="52"/>
      <c r="BB30" s="52"/>
      <c r="BC30" s="54">
        <f t="shared" si="3"/>
        <v>0</v>
      </c>
      <c r="BD30" s="55">
        <f t="shared" si="1"/>
        <v>0</v>
      </c>
      <c r="BE30" s="41">
        <f t="shared" si="2"/>
        <v>0</v>
      </c>
    </row>
    <row r="31" spans="1:57" ht="14.25" customHeight="1" x14ac:dyDescent="0.35">
      <c r="A31" s="20"/>
      <c r="B31" s="35"/>
      <c r="C31" s="51"/>
      <c r="D31" s="45"/>
      <c r="E31" s="24"/>
      <c r="F31" s="24"/>
      <c r="G31" s="52"/>
      <c r="H31" s="35"/>
      <c r="I31" s="51"/>
      <c r="J31" s="52"/>
      <c r="K31" s="35"/>
      <c r="L31" s="52"/>
      <c r="M31" s="35"/>
      <c r="N31" s="51"/>
      <c r="O31" s="52"/>
      <c r="P31" s="35"/>
      <c r="Q31" s="52"/>
      <c r="R31" s="52"/>
      <c r="S31" s="35"/>
      <c r="T31" s="53"/>
      <c r="U31" s="52"/>
      <c r="V31" s="35"/>
      <c r="W31" s="52"/>
      <c r="X31" s="52"/>
      <c r="Y31" s="46"/>
      <c r="Z31" s="53"/>
      <c r="AA31" s="52"/>
      <c r="AB31" s="35"/>
      <c r="AC31" s="24"/>
      <c r="AD31" s="52"/>
      <c r="AE31" s="43"/>
      <c r="AF31" s="52"/>
      <c r="AG31" s="52"/>
      <c r="AH31" s="43"/>
      <c r="AI31" s="52"/>
      <c r="AJ31" s="52"/>
      <c r="AK31" s="43"/>
      <c r="AL31" s="52"/>
      <c r="AM31" s="52"/>
      <c r="AN31" s="43"/>
      <c r="AO31" s="52"/>
      <c r="AP31" s="52"/>
      <c r="AQ31" s="46"/>
      <c r="AR31" s="53"/>
      <c r="AS31" s="52"/>
      <c r="AT31" s="43"/>
      <c r="AU31" s="52"/>
      <c r="AV31" s="52"/>
      <c r="AW31" s="43"/>
      <c r="AX31" s="52"/>
      <c r="AY31" s="52"/>
      <c r="AZ31" s="43"/>
      <c r="BA31" s="52"/>
      <c r="BB31" s="52"/>
      <c r="BC31" s="54">
        <f t="shared" si="3"/>
        <v>0</v>
      </c>
      <c r="BD31" s="55">
        <f t="shared" si="1"/>
        <v>0</v>
      </c>
      <c r="BE31" s="41">
        <f t="shared" si="2"/>
        <v>0</v>
      </c>
    </row>
    <row r="32" spans="1:57" ht="14.25" customHeight="1" x14ac:dyDescent="0.35">
      <c r="A32" s="20"/>
      <c r="B32" s="35"/>
      <c r="C32" s="51"/>
      <c r="D32" s="45"/>
      <c r="E32" s="24"/>
      <c r="F32" s="24"/>
      <c r="G32" s="52"/>
      <c r="H32" s="35"/>
      <c r="I32" s="51"/>
      <c r="J32" s="52"/>
      <c r="K32" s="35"/>
      <c r="L32" s="52"/>
      <c r="M32" s="35"/>
      <c r="N32" s="51"/>
      <c r="O32" s="52"/>
      <c r="P32" s="35"/>
      <c r="Q32" s="52"/>
      <c r="R32" s="52"/>
      <c r="S32" s="35"/>
      <c r="T32" s="53"/>
      <c r="U32" s="52"/>
      <c r="V32" s="35"/>
      <c r="W32" s="52"/>
      <c r="X32" s="52"/>
      <c r="Y32" s="46"/>
      <c r="Z32" s="53"/>
      <c r="AA32" s="52"/>
      <c r="AB32" s="35"/>
      <c r="AC32" s="24"/>
      <c r="AD32" s="52"/>
      <c r="AE32" s="43"/>
      <c r="AF32" s="52"/>
      <c r="AG32" s="52"/>
      <c r="AH32" s="43"/>
      <c r="AI32" s="52"/>
      <c r="AJ32" s="52"/>
      <c r="AK32" s="43"/>
      <c r="AL32" s="52"/>
      <c r="AM32" s="52"/>
      <c r="AN32" s="43"/>
      <c r="AO32" s="52"/>
      <c r="AP32" s="52"/>
      <c r="AQ32" s="56"/>
      <c r="AR32" s="57"/>
      <c r="AS32" s="58"/>
      <c r="AT32" s="43"/>
      <c r="AU32" s="52"/>
      <c r="AV32" s="52"/>
      <c r="AW32" s="43"/>
      <c r="AX32" s="52"/>
      <c r="AY32" s="52"/>
      <c r="AZ32" s="43"/>
      <c r="BA32" s="52"/>
      <c r="BB32" s="52"/>
      <c r="BC32" s="54">
        <f t="shared" si="3"/>
        <v>0</v>
      </c>
      <c r="BD32" s="55">
        <f t="shared" si="1"/>
        <v>0</v>
      </c>
      <c r="BE32" s="41">
        <f t="shared" si="2"/>
        <v>0</v>
      </c>
    </row>
    <row r="33" spans="1:58" ht="14.25" customHeight="1" x14ac:dyDescent="0.35">
      <c r="A33" s="20"/>
      <c r="B33" s="35"/>
      <c r="C33" s="51"/>
      <c r="D33" s="45"/>
      <c r="E33" s="24"/>
      <c r="F33" s="24"/>
      <c r="G33" s="52"/>
      <c r="H33" s="35"/>
      <c r="I33" s="51"/>
      <c r="J33" s="52"/>
      <c r="K33" s="35"/>
      <c r="L33" s="52"/>
      <c r="M33" s="35"/>
      <c r="N33" s="51"/>
      <c r="O33" s="52"/>
      <c r="P33" s="35"/>
      <c r="Q33" s="52"/>
      <c r="R33" s="52"/>
      <c r="S33" s="35"/>
      <c r="T33" s="53"/>
      <c r="U33" s="52"/>
      <c r="V33" s="35"/>
      <c r="W33" s="52"/>
      <c r="X33" s="52"/>
      <c r="Y33" s="46"/>
      <c r="Z33" s="53"/>
      <c r="AA33" s="52"/>
      <c r="AB33" s="35"/>
      <c r="AC33" s="24"/>
      <c r="AD33" s="52"/>
      <c r="AE33" s="43"/>
      <c r="AF33" s="52"/>
      <c r="AG33" s="52"/>
      <c r="AH33" s="43"/>
      <c r="AI33" s="52"/>
      <c r="AJ33" s="52"/>
      <c r="AK33" s="43"/>
      <c r="AL33" s="52"/>
      <c r="AM33" s="52"/>
      <c r="AN33" s="43"/>
      <c r="AO33" s="52"/>
      <c r="AP33" s="52"/>
      <c r="AQ33" s="56"/>
      <c r="AR33" s="57"/>
      <c r="AS33" s="58"/>
      <c r="AT33" s="43"/>
      <c r="AU33" s="52"/>
      <c r="AV33" s="52"/>
      <c r="AW33" s="43"/>
      <c r="AX33" s="52"/>
      <c r="AY33" s="52"/>
      <c r="AZ33" s="43"/>
      <c r="BA33" s="52"/>
      <c r="BB33" s="52"/>
      <c r="BC33" s="54">
        <f t="shared" si="3"/>
        <v>0</v>
      </c>
      <c r="BD33" s="55">
        <f t="shared" si="1"/>
        <v>0</v>
      </c>
      <c r="BE33" s="41">
        <f t="shared" si="2"/>
        <v>0</v>
      </c>
    </row>
    <row r="34" spans="1:58" ht="14.25" customHeight="1" x14ac:dyDescent="0.35">
      <c r="A34" s="20"/>
      <c r="B34" s="35"/>
      <c r="C34" s="51"/>
      <c r="D34" s="45"/>
      <c r="E34" s="24"/>
      <c r="F34" s="24"/>
      <c r="G34" s="52"/>
      <c r="H34" s="35"/>
      <c r="I34" s="51"/>
      <c r="J34" s="52"/>
      <c r="K34" s="35"/>
      <c r="L34" s="52"/>
      <c r="M34" s="35"/>
      <c r="N34" s="51"/>
      <c r="O34" s="52"/>
      <c r="P34" s="35"/>
      <c r="Q34" s="52"/>
      <c r="R34" s="52"/>
      <c r="S34" s="35"/>
      <c r="T34" s="53"/>
      <c r="U34" s="52"/>
      <c r="V34" s="35"/>
      <c r="W34" s="52"/>
      <c r="X34" s="52"/>
      <c r="Y34" s="46"/>
      <c r="Z34" s="53"/>
      <c r="AA34" s="52"/>
      <c r="AB34" s="35"/>
      <c r="AC34" s="24"/>
      <c r="AD34" s="52"/>
      <c r="AE34" s="43"/>
      <c r="AF34" s="52"/>
      <c r="AG34" s="52"/>
      <c r="AH34" s="43"/>
      <c r="AI34" s="52"/>
      <c r="AJ34" s="52"/>
      <c r="AK34" s="43"/>
      <c r="AL34" s="52"/>
      <c r="AM34" s="52"/>
      <c r="AN34" s="43"/>
      <c r="AO34" s="52"/>
      <c r="AP34" s="52"/>
      <c r="AQ34" s="56"/>
      <c r="AR34" s="57"/>
      <c r="AS34" s="58"/>
      <c r="AT34" s="43"/>
      <c r="AU34" s="52"/>
      <c r="AV34" s="52"/>
      <c r="AW34" s="43"/>
      <c r="AX34" s="52"/>
      <c r="AY34" s="52"/>
      <c r="AZ34" s="43"/>
      <c r="BA34" s="52"/>
      <c r="BB34" s="52"/>
      <c r="BC34" s="54">
        <f t="shared" si="3"/>
        <v>0</v>
      </c>
      <c r="BD34" s="55">
        <f t="shared" si="1"/>
        <v>0</v>
      </c>
      <c r="BE34" s="41">
        <f t="shared" si="2"/>
        <v>0</v>
      </c>
    </row>
    <row r="35" spans="1:58" ht="14.25" customHeight="1" thickBot="1" x14ac:dyDescent="0.4">
      <c r="A35" s="20"/>
      <c r="B35" s="35"/>
      <c r="C35" s="51"/>
      <c r="D35" s="45"/>
      <c r="E35" s="24"/>
      <c r="F35" s="24"/>
      <c r="G35" s="52"/>
      <c r="H35" s="35"/>
      <c r="I35" s="51"/>
      <c r="J35" s="52"/>
      <c r="K35" s="35"/>
      <c r="L35" s="52"/>
      <c r="M35" s="35"/>
      <c r="N35" s="51"/>
      <c r="O35" s="52"/>
      <c r="P35" s="35"/>
      <c r="Q35" s="52"/>
      <c r="R35" s="52"/>
      <c r="S35" s="35"/>
      <c r="T35" s="53"/>
      <c r="U35" s="52"/>
      <c r="V35" s="35"/>
      <c r="W35" s="52"/>
      <c r="X35" s="52"/>
      <c r="Y35" s="46"/>
      <c r="Z35" s="53"/>
      <c r="AA35" s="52"/>
      <c r="AB35" s="35"/>
      <c r="AC35" s="24"/>
      <c r="AD35" s="52"/>
      <c r="AE35" s="43"/>
      <c r="AF35" s="52"/>
      <c r="AG35" s="52"/>
      <c r="AH35" s="43"/>
      <c r="AI35" s="52"/>
      <c r="AJ35" s="52"/>
      <c r="AK35" s="43"/>
      <c r="AL35" s="52"/>
      <c r="AM35" s="52"/>
      <c r="AN35" s="43"/>
      <c r="AO35" s="52"/>
      <c r="AP35" s="52"/>
      <c r="AQ35" s="46"/>
      <c r="AR35" s="53"/>
      <c r="AS35" s="52"/>
      <c r="AT35" s="43"/>
      <c r="AU35" s="52"/>
      <c r="AV35" s="52"/>
      <c r="AW35" s="43"/>
      <c r="AX35" s="52"/>
      <c r="AY35" s="52"/>
      <c r="AZ35" s="43"/>
      <c r="BA35" s="52"/>
      <c r="BB35" s="52"/>
      <c r="BC35" s="54">
        <f t="shared" si="3"/>
        <v>0</v>
      </c>
      <c r="BD35" s="55">
        <f t="shared" si="1"/>
        <v>0</v>
      </c>
      <c r="BE35" s="41">
        <f t="shared" si="2"/>
        <v>0</v>
      </c>
    </row>
    <row r="36" spans="1:58" ht="15.5" x14ac:dyDescent="0.35">
      <c r="A36" s="59"/>
      <c r="B36" s="60">
        <f t="shared" ref="B36:O36" si="4">SUM(B10:B35)</f>
        <v>0</v>
      </c>
      <c r="C36" s="60">
        <f t="shared" si="4"/>
        <v>0</v>
      </c>
      <c r="D36" s="60">
        <f t="shared" si="4"/>
        <v>0</v>
      </c>
      <c r="E36" s="60">
        <f t="shared" si="4"/>
        <v>0</v>
      </c>
      <c r="F36" s="60">
        <f t="shared" si="4"/>
        <v>0</v>
      </c>
      <c r="G36" s="60">
        <f t="shared" si="4"/>
        <v>0</v>
      </c>
      <c r="H36" s="60">
        <f t="shared" si="4"/>
        <v>0</v>
      </c>
      <c r="I36" s="60">
        <f t="shared" si="4"/>
        <v>0</v>
      </c>
      <c r="J36" s="60">
        <f t="shared" si="4"/>
        <v>0</v>
      </c>
      <c r="K36" s="60">
        <f t="shared" si="4"/>
        <v>0</v>
      </c>
      <c r="L36" s="60">
        <f t="shared" si="4"/>
        <v>0</v>
      </c>
      <c r="M36" s="60">
        <f t="shared" si="4"/>
        <v>0</v>
      </c>
      <c r="N36" s="60">
        <f t="shared" si="4"/>
        <v>0</v>
      </c>
      <c r="O36" s="60">
        <f t="shared" si="4"/>
        <v>0</v>
      </c>
      <c r="P36" s="60">
        <f>SUM(P10:P28)</f>
        <v>0</v>
      </c>
      <c r="Q36" s="60">
        <f>SUM(Q10:Q28)</f>
        <v>0</v>
      </c>
      <c r="R36" s="60">
        <f>SUM(R10:R28)</f>
        <v>0</v>
      </c>
      <c r="S36" s="60">
        <f>SUM(S10:S35)</f>
        <v>0</v>
      </c>
      <c r="T36" s="61">
        <f>SUM(T10:T35)</f>
        <v>0</v>
      </c>
      <c r="U36" s="62">
        <f>SUM(U10:U35)</f>
        <v>0</v>
      </c>
      <c r="V36" s="60">
        <f>SUM(V10:V28)</f>
        <v>0</v>
      </c>
      <c r="W36" s="60">
        <f>SUM(W10:W28)</f>
        <v>0</v>
      </c>
      <c r="X36" s="60">
        <f>SUM(X10:X28)</f>
        <v>0</v>
      </c>
      <c r="Y36" s="61">
        <f>SUM(Y10:Y35)</f>
        <v>0</v>
      </c>
      <c r="Z36" s="62">
        <f>SUM(Z10:Z35)</f>
        <v>0</v>
      </c>
      <c r="AA36" s="60">
        <f>SUM(AA10:AA35)</f>
        <v>0</v>
      </c>
      <c r="AB36" s="60">
        <f t="shared" ref="AB36:AP36" si="5">SUM(AB10:AB28)</f>
        <v>0</v>
      </c>
      <c r="AC36" s="60">
        <f t="shared" si="5"/>
        <v>0</v>
      </c>
      <c r="AD36" s="60">
        <f t="shared" si="5"/>
        <v>0</v>
      </c>
      <c r="AE36" s="60">
        <f t="shared" si="5"/>
        <v>0</v>
      </c>
      <c r="AF36" s="60">
        <f t="shared" si="5"/>
        <v>0</v>
      </c>
      <c r="AG36" s="60">
        <f t="shared" si="5"/>
        <v>0</v>
      </c>
      <c r="AH36" s="60">
        <f t="shared" si="5"/>
        <v>0</v>
      </c>
      <c r="AI36" s="60">
        <f t="shared" si="5"/>
        <v>0</v>
      </c>
      <c r="AJ36" s="60">
        <f t="shared" si="5"/>
        <v>0</v>
      </c>
      <c r="AK36" s="60">
        <f t="shared" si="5"/>
        <v>0</v>
      </c>
      <c r="AL36" s="60">
        <f t="shared" si="5"/>
        <v>0</v>
      </c>
      <c r="AM36" s="60">
        <f t="shared" si="5"/>
        <v>0</v>
      </c>
      <c r="AN36" s="60">
        <f t="shared" si="5"/>
        <v>0</v>
      </c>
      <c r="AO36" s="60">
        <f t="shared" si="5"/>
        <v>0</v>
      </c>
      <c r="AP36" s="60">
        <f t="shared" si="5"/>
        <v>0</v>
      </c>
      <c r="AQ36" s="60">
        <f>SUM(AQ10:AQ35)</f>
        <v>0</v>
      </c>
      <c r="AR36" s="60">
        <f>SUM(AR10:AR35)</f>
        <v>0</v>
      </c>
      <c r="AS36" s="60">
        <f>SUM(AS10:AS35)</f>
        <v>0</v>
      </c>
      <c r="AT36" s="60">
        <f t="shared" ref="AT36:BB36" si="6">SUM(AT10:AT28)</f>
        <v>0</v>
      </c>
      <c r="AU36" s="60">
        <f t="shared" si="6"/>
        <v>0</v>
      </c>
      <c r="AV36" s="60">
        <f t="shared" si="6"/>
        <v>0</v>
      </c>
      <c r="AW36" s="60">
        <f t="shared" si="6"/>
        <v>0</v>
      </c>
      <c r="AX36" s="60">
        <f t="shared" si="6"/>
        <v>0</v>
      </c>
      <c r="AY36" s="60">
        <f t="shared" si="6"/>
        <v>0</v>
      </c>
      <c r="AZ36" s="60">
        <f t="shared" si="6"/>
        <v>0</v>
      </c>
      <c r="BA36" s="60">
        <f t="shared" si="6"/>
        <v>0</v>
      </c>
      <c r="BB36" s="60">
        <f t="shared" si="6"/>
        <v>0</v>
      </c>
      <c r="BC36" s="61">
        <f>SUM(BC10:BC35)</f>
        <v>0</v>
      </c>
      <c r="BD36" s="62">
        <f>SUM(BD10:BD35)</f>
        <v>0</v>
      </c>
      <c r="BE36" s="63">
        <f>SUM(BE10:BE35)</f>
        <v>0</v>
      </c>
      <c r="BF36" s="64"/>
    </row>
    <row r="37" spans="1:58" ht="16" thickBot="1" x14ac:dyDescent="0.4">
      <c r="A37" s="65" t="s">
        <v>31</v>
      </c>
      <c r="B37" s="90">
        <f>+(B36*12+C36*3+D36*6)/1000</f>
        <v>0</v>
      </c>
      <c r="C37" s="91"/>
      <c r="D37" s="92"/>
      <c r="E37" s="91">
        <f>+(E36*12+F36*3+G36*6)/1000</f>
        <v>0</v>
      </c>
      <c r="F37" s="91"/>
      <c r="G37" s="91"/>
      <c r="H37" s="93">
        <f>+(H36*12+I36*3+J36*6)/1000</f>
        <v>0</v>
      </c>
      <c r="I37" s="91"/>
      <c r="J37" s="94"/>
      <c r="K37" s="95">
        <f>+(K36*12+L36*3)/1000</f>
        <v>0</v>
      </c>
      <c r="L37" s="95"/>
      <c r="M37" s="93">
        <f>+(M36*12+N36*3+O36*6)/1000</f>
        <v>0</v>
      </c>
      <c r="N37" s="91"/>
      <c r="O37" s="94"/>
      <c r="P37" s="95">
        <f>+(P36*12+Q36*3+R36*6)/1000</f>
        <v>0</v>
      </c>
      <c r="Q37" s="95"/>
      <c r="R37" s="95"/>
      <c r="S37" s="95">
        <f>+(S36*12+T36*3+U36*6)/1000</f>
        <v>0</v>
      </c>
      <c r="T37" s="95"/>
      <c r="U37" s="95"/>
      <c r="V37" s="95">
        <f>+(V36*12+W36*3+X36*6)/1000</f>
        <v>0</v>
      </c>
      <c r="W37" s="95"/>
      <c r="X37" s="95"/>
      <c r="Y37" s="95">
        <f>+(Y36*12+Z36*3+AA36*6)/1000</f>
        <v>0</v>
      </c>
      <c r="Z37" s="95"/>
      <c r="AA37" s="95"/>
      <c r="AB37" s="93">
        <f>+(AB36*12+AC36*3+AD36*6)/1000</f>
        <v>0</v>
      </c>
      <c r="AC37" s="91"/>
      <c r="AD37" s="94"/>
      <c r="AE37" s="93">
        <f>+(AE36*12+AF36*3+AG36*6)/1000</f>
        <v>0</v>
      </c>
      <c r="AF37" s="91"/>
      <c r="AG37" s="94"/>
      <c r="AH37" s="93">
        <f>+(AH36*12+AI36*3+AJ36*6)/1000</f>
        <v>0</v>
      </c>
      <c r="AI37" s="91"/>
      <c r="AJ37" s="94"/>
      <c r="AK37" s="93">
        <f>+(AK36*12+AL36*3+AM36*6)/1000</f>
        <v>0</v>
      </c>
      <c r="AL37" s="91"/>
      <c r="AM37" s="94"/>
      <c r="AN37" s="93">
        <f>+(AN36*12+AO36*3+AP36*6)/1000</f>
        <v>0</v>
      </c>
      <c r="AO37" s="91"/>
      <c r="AP37" s="94"/>
      <c r="AQ37" s="93">
        <f>+(AQ36*12+AR36*3+AS36*6)/1000</f>
        <v>0</v>
      </c>
      <c r="AR37" s="91"/>
      <c r="AS37" s="94"/>
      <c r="AT37" s="93">
        <f>+(AT36*12+AU36*3+AV36*6)/1000</f>
        <v>0</v>
      </c>
      <c r="AU37" s="91"/>
      <c r="AV37" s="94"/>
      <c r="AW37" s="93">
        <f>+(AW36*12+AX36*3+AY36*6)/1000</f>
        <v>0</v>
      </c>
      <c r="AX37" s="91"/>
      <c r="AY37" s="94"/>
      <c r="AZ37" s="93">
        <f>+(AZ36*12+BA36*3+BB36*6)/1000</f>
        <v>0</v>
      </c>
      <c r="BA37" s="91"/>
      <c r="BB37" s="94"/>
      <c r="BC37" s="93">
        <f>+(BC36*12+BD36*3+BE36*6)/1000</f>
        <v>0</v>
      </c>
      <c r="BD37" s="91"/>
      <c r="BE37" s="94"/>
      <c r="BF37" s="66"/>
    </row>
    <row r="38" spans="1:58" ht="7.5" customHeight="1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</row>
    <row r="39" spans="1:58" ht="15.5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96"/>
      <c r="BD39" s="96"/>
      <c r="BE39" s="96"/>
    </row>
    <row r="40" spans="1:58" ht="15.5" hidden="1" x14ac:dyDescent="0.35">
      <c r="A40" s="7"/>
      <c r="B40" s="68">
        <f>+B36*41.756+C36*10.153+D36*20.878</f>
        <v>0</v>
      </c>
      <c r="C40" s="69"/>
      <c r="D40" s="69"/>
      <c r="E40" s="68">
        <f>+E36*41.756+F36*10.153+G36*20.878</f>
        <v>0</v>
      </c>
      <c r="F40" s="69"/>
      <c r="G40" s="69"/>
      <c r="H40" s="68">
        <f>+H36*41.756+I36*10.153+J36*20.878</f>
        <v>0</v>
      </c>
      <c r="I40" s="69"/>
      <c r="J40" s="69"/>
      <c r="K40" s="68">
        <f>+K36*41.756+L36*10.153</f>
        <v>0</v>
      </c>
      <c r="L40" s="69"/>
      <c r="M40" s="68">
        <f>+M36*41.756+N36*10.153+O36*20.878</f>
        <v>0</v>
      </c>
      <c r="N40" s="69"/>
      <c r="O40" s="69"/>
      <c r="P40" s="69"/>
      <c r="Q40" s="70"/>
      <c r="R40" s="70"/>
      <c r="S40" s="68">
        <f>+S36*41.756+T36*10.153+U36*20.878</f>
        <v>0</v>
      </c>
      <c r="T40" s="70"/>
      <c r="U40" s="70"/>
      <c r="V40" s="70"/>
      <c r="W40" s="70"/>
      <c r="X40" s="70"/>
      <c r="Y40" s="68">
        <f>+Y36*41.756+Z36*10.153+AA36*20.878</f>
        <v>0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68">
        <f>+AQ36*41.756+AR36*10.153+AS36*20.878</f>
        <v>0</v>
      </c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68">
        <f>+BC36*41.756+BD36*10.153+BE36*20.878</f>
        <v>0</v>
      </c>
      <c r="BD40" s="64"/>
      <c r="BE40" s="64"/>
    </row>
    <row r="41" spans="1:58" ht="15.5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71"/>
      <c r="BE41" s="6"/>
      <c r="BF41" s="6"/>
    </row>
    <row r="42" spans="1:58" ht="15.5" x14ac:dyDescent="0.3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67"/>
      <c r="BE42" s="7"/>
    </row>
    <row r="43" spans="1:58" ht="15.5" x14ac:dyDescent="0.3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67"/>
      <c r="AE43" s="67"/>
      <c r="AF43" s="67"/>
      <c r="AG43" s="67"/>
      <c r="AH43" s="67"/>
      <c r="AI43" s="67"/>
      <c r="AJ43" s="67"/>
      <c r="AK43" s="67"/>
      <c r="AL43" s="6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67"/>
      <c r="BB43" s="67"/>
      <c r="BC43" s="7"/>
      <c r="BD43" s="67"/>
      <c r="BE43" s="7"/>
    </row>
    <row r="44" spans="1:58" ht="15.5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67"/>
      <c r="AE44" s="67"/>
      <c r="AF44" s="67"/>
      <c r="AG44" s="67"/>
      <c r="AH44" s="67"/>
      <c r="AI44" s="67"/>
      <c r="AJ44" s="67"/>
      <c r="AK44" s="67"/>
      <c r="AL44" s="6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67"/>
      <c r="BB44" s="67"/>
      <c r="BC44" s="7"/>
      <c r="BD44" s="7"/>
      <c r="BE44" s="7"/>
    </row>
    <row r="45" spans="1:58" ht="15.5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7"/>
      <c r="BC45" s="7"/>
      <c r="BD45" s="67"/>
      <c r="BE45" s="7"/>
    </row>
    <row r="46" spans="1:58" ht="15.5" x14ac:dyDescent="0.3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97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7"/>
      <c r="BB46" s="7"/>
      <c r="BC46" s="7"/>
      <c r="BD46" s="67"/>
      <c r="BE46" s="7"/>
    </row>
    <row r="47" spans="1:58" ht="15.5" x14ac:dyDescent="0.3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2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</row>
    <row r="61" spans="29:29" x14ac:dyDescent="0.25">
      <c r="AC61" s="66"/>
    </row>
    <row r="68" spans="24:27" x14ac:dyDescent="0.25">
      <c r="X68" s="66"/>
      <c r="Y68" s="66"/>
      <c r="Z68" s="66"/>
      <c r="AA68" s="66"/>
    </row>
  </sheetData>
  <mergeCells count="57">
    <mergeCell ref="AM44:AZ44"/>
    <mergeCell ref="AM45:BA45"/>
    <mergeCell ref="AL46:AZ46"/>
    <mergeCell ref="AT37:AV37"/>
    <mergeCell ref="AW37:AY37"/>
    <mergeCell ref="AZ37:BB37"/>
    <mergeCell ref="BC37:BE37"/>
    <mergeCell ref="BC39:BE39"/>
    <mergeCell ref="AM43:AZ43"/>
    <mergeCell ref="AB37:AD37"/>
    <mergeCell ref="AE37:AG37"/>
    <mergeCell ref="AH37:AJ37"/>
    <mergeCell ref="AK37:AM37"/>
    <mergeCell ref="AN37:AP37"/>
    <mergeCell ref="AQ37:AS37"/>
    <mergeCell ref="AK8:AM8"/>
    <mergeCell ref="AN8:AP8"/>
    <mergeCell ref="AQ8:AS8"/>
    <mergeCell ref="AT8:AV8"/>
    <mergeCell ref="AW8:AY8"/>
    <mergeCell ref="P37:R37"/>
    <mergeCell ref="S37:U37"/>
    <mergeCell ref="V37:X37"/>
    <mergeCell ref="Y37:AA37"/>
    <mergeCell ref="AH8:AJ8"/>
    <mergeCell ref="B37:D37"/>
    <mergeCell ref="E37:G37"/>
    <mergeCell ref="H37:J37"/>
    <mergeCell ref="K37:L37"/>
    <mergeCell ref="M37:O37"/>
    <mergeCell ref="AQ7:AS7"/>
    <mergeCell ref="AT7:AV7"/>
    <mergeCell ref="AW7:AY7"/>
    <mergeCell ref="AZ7:BB7"/>
    <mergeCell ref="BC7:BE8"/>
    <mergeCell ref="AZ8:BB8"/>
    <mergeCell ref="S8:U8"/>
    <mergeCell ref="V8:X8"/>
    <mergeCell ref="Y8:AA8"/>
    <mergeCell ref="AB8:AD8"/>
    <mergeCell ref="AE8:AG8"/>
    <mergeCell ref="AN7:AP7"/>
    <mergeCell ref="AB6:BB6"/>
    <mergeCell ref="A7:A9"/>
    <mergeCell ref="B7:D8"/>
    <mergeCell ref="E7:G8"/>
    <mergeCell ref="H7:J8"/>
    <mergeCell ref="K7:L8"/>
    <mergeCell ref="M7:O8"/>
    <mergeCell ref="P7:R8"/>
    <mergeCell ref="S7:U7"/>
    <mergeCell ref="V7:X7"/>
    <mergeCell ref="Y7:AA7"/>
    <mergeCell ref="AB7:AD7"/>
    <mergeCell ref="AE7:AG7"/>
    <mergeCell ref="AH7:AJ7"/>
    <mergeCell ref="AK7:AM7"/>
  </mergeCells>
  <pageMargins left="0" right="0" top="0.19685039370078741" bottom="0.19685039370078741" header="0.15748031496062992" footer="0.1574803149606299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CANEVAS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Ossama CHABAKI</dc:creator>
  <cp:lastModifiedBy>Ossama CHABAKI</cp:lastModifiedBy>
  <dcterms:created xsi:type="dcterms:W3CDTF">2026-06-16T13:55:29Z</dcterms:created>
  <dcterms:modified xsi:type="dcterms:W3CDTF">2026-06-17T19:19:31Z</dcterms:modified>
</cp:coreProperties>
</file>