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never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local\Canevas Rapport Journalier\"/>
    </mc:Choice>
  </mc:AlternateContent>
  <xr:revisionPtr revIDLastSave="0" documentId="13_ncr:1_{72E326A0-1E6E-4C79-A71B-F0627171B87B}" xr6:coauthVersionLast="47" xr6:coauthVersionMax="47" xr10:uidLastSave="{00000000-0000-0000-0000-000000000000}"/>
  <bookViews>
    <workbookView xWindow="-120" yWindow="-120" windowWidth="29040" windowHeight="15720" tabRatio="714" xr2:uid="{00000000-000D-0000-FFFF-FFFF00000000}"/>
  </bookViews>
  <sheets>
    <sheet name="Jauge" sheetId="1" r:id="rId1"/>
    <sheet name="stock" sheetId="2" r:id="rId2"/>
    <sheet name="appro et ventes" sheetId="3" r:id="rId3"/>
    <sheet name="CGPL" sheetId="6" r:id="rId4"/>
    <sheet name="Vrac1" sheetId="5" state="hidden" r:id="rId5"/>
    <sheet name="Vrac" sheetId="4" state="hidden" r:id="rId6"/>
    <sheet name="BUTANE" sheetId="8" r:id="rId7"/>
    <sheet name="Feuil1" sheetId="12" r:id="rId8"/>
    <sheet name="Bareme" sheetId="11" r:id="rId9"/>
  </sheets>
  <definedNames>
    <definedName name="_xcgh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_xleta.IF" hidden="1" xlm="1">#NAME?</definedName>
    <definedName name="A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ac" localSheetId="4">#REF!</definedName>
    <definedName name="AD">#REF!</definedName>
    <definedName name="Arrival_Remark_Range">#REF!</definedName>
    <definedName name="BD">#REF!</definedName>
    <definedName name="BERTH">#REF!</definedName>
    <definedName name="BHJHJHGLJ" localSheetId="4">#REF!</definedName>
    <definedName name="BHJHJHGU">#REF!</definedName>
    <definedName name="CARGO">#REF!</definedName>
    <definedName name="ChargerBD">#REF!</definedName>
    <definedName name="CLIENT">#REF!</definedName>
    <definedName name="CMVG">#REF!</definedName>
    <definedName name="CopyCel">#REF!</definedName>
    <definedName name="DATE">#REF!</definedName>
    <definedName name="Departure_Remark_Range">#REF!</definedName>
    <definedName name="E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ETAT">#REF!</definedName>
    <definedName name="GSWB">#REF!</definedName>
    <definedName name="KKJJH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LDI">#REF!</definedName>
    <definedName name="lllll">#REF!</definedName>
    <definedName name="Loadport_Remark_Range">#REF!</definedName>
    <definedName name="MisajourTCD">#REF!</definedName>
    <definedName name="PORT">#REF!</definedName>
    <definedName name="PUVG">#REF!</definedName>
    <definedName name="REPORT">#REF!</definedName>
    <definedName name="SNEP">#REF!</definedName>
    <definedName name="TxtBLRange">#REF!</definedName>
    <definedName name="TxtOD">#REF!</definedName>
    <definedName name="UIV">#REF!</definedName>
    <definedName name="UllagePages">#REF!</definedName>
    <definedName name="VDIV">#REF!</definedName>
    <definedName name="VESSEL">#REF!</definedName>
    <definedName name="VesselTankRange">#REF!</definedName>
    <definedName name="VVI">#REF!</definedName>
    <definedName name="wrn.Rapport._.Fabrication.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xcgh0" hidden="1">{#N/A,#N/A,FALSE,"Topping1";#N/A,#N/A,FALSE,"Topping2";#N/A,#N/A,FALSE,"SousVide";#N/A,#N/A,FALSE,"TCC";#N/A,#N/A,FALSE,"Reforming1";#N/A,#N/A,FALSE,"Reforming2";#N/A,#N/A,FALSE,"GasPlant1";#N/A,#N/A,FALSE,"GasPlant2";#N/A,#N/A,FALSE,"FabGlob";#N/A,#N/A,FALSE,"CondEss";#N/A,#N/A,FALSE,"CondF&amp;D";#N/A,#N/A,FALSE,"CondF&amp;Dbis";#N/A,#N/A,FALSE,"BilGlob";#N/A,#N/A,FALSE,"MouvProd"}</definedName>
    <definedName name="Z_E839DAA6_55B8_11DA_BCF9_0010B5C69E2E_.wvu.Cols" localSheetId="4" hidden="1">Vrac1!$L:$AG</definedName>
    <definedName name="_xlnm.Print_Area" localSheetId="5">Vrac!$A$1:$AI$53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" l="1"/>
  <c r="E11" i="3"/>
  <c r="D11" i="3"/>
  <c r="F1" i="6"/>
  <c r="G2" i="2" l="1"/>
  <c r="D2" i="3" l="1"/>
  <c r="B35" i="12" l="1"/>
  <c r="B38" i="12" s="1"/>
  <c r="B34" i="12"/>
  <c r="C34" i="12" s="1"/>
  <c r="E15" i="12"/>
  <c r="E18" i="12" s="1"/>
  <c r="E19" i="12" s="1"/>
  <c r="B15" i="12"/>
  <c r="B18" i="12" s="1"/>
  <c r="B19" i="12" s="1"/>
  <c r="E14" i="12"/>
  <c r="F14" i="12" s="1"/>
  <c r="B14" i="12"/>
  <c r="C14" i="12" s="1"/>
  <c r="B37" i="12" l="1"/>
  <c r="B39" i="12" s="1"/>
  <c r="B40" i="12" s="1"/>
  <c r="B41" i="12" s="1"/>
  <c r="C31" i="12" s="1"/>
  <c r="B36" i="12"/>
  <c r="E20" i="12"/>
  <c r="E21" i="12" s="1"/>
  <c r="F11" i="12" s="1"/>
  <c r="B20" i="12"/>
  <c r="B21" i="12" s="1"/>
  <c r="C11" i="12" s="1"/>
  <c r="L2" i="11" l="1"/>
  <c r="F46" i="8" l="1"/>
  <c r="F47" i="8" s="1"/>
  <c r="E46" i="8"/>
  <c r="E47" i="8" s="1"/>
  <c r="D46" i="8"/>
  <c r="D47" i="8" s="1"/>
  <c r="C46" i="8"/>
  <c r="C47" i="8" s="1"/>
  <c r="K33" i="4"/>
  <c r="F32" i="8"/>
  <c r="F43" i="8" s="1"/>
  <c r="J8" i="5"/>
  <c r="E32" i="8"/>
  <c r="E43" i="8" s="1"/>
  <c r="D32" i="8"/>
  <c r="D43" i="8" s="1"/>
  <c r="C32" i="8"/>
  <c r="C43" i="8" s="1"/>
  <c r="F24" i="8"/>
  <c r="E24" i="8"/>
  <c r="D24" i="8"/>
  <c r="C24" i="8"/>
  <c r="B49" i="8"/>
  <c r="J41" i="8"/>
  <c r="F39" i="8"/>
  <c r="E39" i="8"/>
  <c r="D39" i="8"/>
  <c r="C39" i="8"/>
  <c r="K36" i="8"/>
  <c r="K35" i="8"/>
  <c r="I33" i="8"/>
  <c r="I35" i="8" s="1"/>
  <c r="I37" i="8" s="1"/>
  <c r="B34" i="8"/>
  <c r="H12" i="3"/>
  <c r="G15" i="6"/>
  <c r="E30" i="8" l="1"/>
  <c r="E31" i="8"/>
  <c r="D30" i="8"/>
  <c r="D31" i="8"/>
  <c r="F30" i="8"/>
  <c r="F31" i="8"/>
  <c r="C30" i="8"/>
  <c r="C31" i="8"/>
  <c r="D51" i="8"/>
  <c r="C51" i="8"/>
  <c r="F51" i="8"/>
  <c r="E51" i="8"/>
  <c r="B42" i="8"/>
  <c r="B45" i="8" s="1"/>
  <c r="C34" i="8" l="1"/>
  <c r="C37" i="8" s="1"/>
  <c r="C40" i="8" s="1"/>
  <c r="C42" i="8"/>
  <c r="C45" i="8" s="1"/>
  <c r="C55" i="8" s="1"/>
  <c r="F42" i="8"/>
  <c r="F45" i="8" s="1"/>
  <c r="F55" i="8" s="1"/>
  <c r="F34" i="8"/>
  <c r="F37" i="8" s="1"/>
  <c r="F40" i="8" s="1"/>
  <c r="D34" i="8"/>
  <c r="D37" i="8" s="1"/>
  <c r="D40" i="8" s="1"/>
  <c r="D42" i="8"/>
  <c r="D45" i="8" s="1"/>
  <c r="D55" i="8" s="1"/>
  <c r="E42" i="8"/>
  <c r="E45" i="8" s="1"/>
  <c r="E55" i="8" s="1"/>
  <c r="E34" i="8"/>
  <c r="E37" i="8" s="1"/>
  <c r="E40" i="8" s="1"/>
  <c r="G41" i="6"/>
  <c r="G40" i="6"/>
  <c r="G39" i="6"/>
  <c r="G32" i="6"/>
  <c r="G31" i="6"/>
  <c r="G30" i="6"/>
  <c r="G24" i="6"/>
  <c r="G23" i="6"/>
  <c r="G22" i="6"/>
  <c r="G16" i="6"/>
  <c r="G14" i="6"/>
  <c r="G8" i="6"/>
  <c r="G7" i="6"/>
  <c r="G6" i="6"/>
  <c r="H8" i="5"/>
  <c r="AC8" i="5" s="1"/>
  <c r="AE8" i="5"/>
  <c r="I8" i="5"/>
  <c r="AD8" i="5" s="1"/>
  <c r="G8" i="5"/>
  <c r="AB8" i="5" s="1"/>
  <c r="E8" i="5"/>
  <c r="P8" i="5" s="1"/>
  <c r="D8" i="5"/>
  <c r="O8" i="5" s="1"/>
  <c r="T8" i="5" s="1"/>
  <c r="Y8" i="5" s="1"/>
  <c r="C8" i="5"/>
  <c r="N8" i="5" s="1"/>
  <c r="S8" i="5" s="1"/>
  <c r="X8" i="5" s="1"/>
  <c r="B8" i="5"/>
  <c r="M8" i="5" s="1"/>
  <c r="R8" i="5" s="1"/>
  <c r="W8" i="5" s="1"/>
  <c r="AF8" i="5"/>
  <c r="Q8" i="5"/>
  <c r="V8" i="5" s="1"/>
  <c r="C57" i="8" l="1"/>
  <c r="E57" i="8"/>
  <c r="AI8" i="5"/>
  <c r="G25" i="6" s="1"/>
  <c r="D57" i="8"/>
  <c r="AH8" i="5"/>
  <c r="G17" i="6" s="1"/>
  <c r="B60" i="8"/>
  <c r="F57" i="8"/>
  <c r="AJ8" i="5"/>
  <c r="AG8" i="5"/>
  <c r="B59" i="8"/>
  <c r="U8" i="5"/>
  <c r="Z8" i="5" s="1"/>
  <c r="AA8" i="5"/>
  <c r="AK8" i="5" s="1"/>
  <c r="G42" i="6" s="1"/>
  <c r="G33" i="6" l="1"/>
  <c r="B61" i="8"/>
  <c r="AL8" i="5" s="1"/>
  <c r="G9" i="6"/>
  <c r="P33" i="4"/>
  <c r="Z16" i="4"/>
  <c r="U16" i="4"/>
  <c r="P16" i="4"/>
  <c r="K16" i="4"/>
  <c r="U18" i="4"/>
  <c r="P18" i="4"/>
  <c r="Z33" i="4" l="1"/>
  <c r="U33" i="4"/>
  <c r="Z18" i="4"/>
  <c r="K18" i="4"/>
  <c r="Z19" i="4" l="1"/>
  <c r="U19" i="4"/>
  <c r="P25" i="4"/>
  <c r="K25" i="4"/>
  <c r="Z17" i="4"/>
  <c r="U17" i="4"/>
  <c r="P17" i="4"/>
  <c r="K17" i="4"/>
  <c r="Z29" i="4"/>
  <c r="Z30" i="4" s="1"/>
  <c r="Z32" i="4" s="1"/>
  <c r="U29" i="4"/>
  <c r="U30" i="4" s="1"/>
  <c r="U32" i="4" s="1"/>
  <c r="P29" i="4"/>
  <c r="P30" i="4" s="1"/>
  <c r="P32" i="4" s="1"/>
  <c r="K29" i="4"/>
  <c r="K30" i="4" s="1"/>
  <c r="K32" i="4" s="1"/>
  <c r="Z22" i="4"/>
  <c r="U22" i="4"/>
  <c r="P22" i="4"/>
  <c r="K22" i="4"/>
  <c r="K13" i="4"/>
  <c r="P13" i="4" s="1"/>
  <c r="U13" i="4" s="1"/>
  <c r="Z13" i="4" s="1"/>
  <c r="AE13" i="4" s="1"/>
  <c r="X6" i="4"/>
  <c r="Z14" i="4" s="1"/>
  <c r="H13" i="3"/>
  <c r="H14" i="3"/>
  <c r="H15" i="3"/>
  <c r="H11" i="3"/>
  <c r="H6" i="3"/>
  <c r="P14" i="4" l="1"/>
  <c r="U14" i="4"/>
  <c r="Z34" i="4"/>
  <c r="Z35" i="4" s="1"/>
  <c r="Z36" i="4" s="1"/>
  <c r="U34" i="4"/>
  <c r="U35" i="4" s="1"/>
  <c r="U36" i="4" s="1"/>
  <c r="Z25" i="4"/>
  <c r="Z26" i="4" s="1"/>
  <c r="U25" i="4"/>
  <c r="U26" i="4" s="1"/>
  <c r="P19" i="4"/>
  <c r="P34" i="4" s="1"/>
  <c r="P35" i="4" s="1"/>
  <c r="P36" i="4" s="1"/>
  <c r="P26" i="4"/>
  <c r="K26" i="4"/>
  <c r="K19" i="4"/>
  <c r="K34" i="4" s="1"/>
  <c r="K35" i="4" s="1"/>
  <c r="K36" i="4" s="1"/>
  <c r="Z38" i="4" l="1"/>
  <c r="U38" i="4"/>
  <c r="Z40" i="4"/>
  <c r="Z41" i="4"/>
  <c r="P38" i="4"/>
  <c r="K38" i="4"/>
  <c r="Z42" i="4" l="1"/>
</calcChain>
</file>

<file path=xl/sharedStrings.xml><?xml version="1.0" encoding="utf-8"?>
<sst xmlns="http://schemas.openxmlformats.org/spreadsheetml/2006/main" count="285" uniqueCount="187">
  <si>
    <t>Niveau (mm)</t>
  </si>
  <si>
    <t>Société</t>
  </si>
  <si>
    <t>AFRIQUIA GAZ</t>
  </si>
  <si>
    <t>VIVO ENERGY</t>
  </si>
  <si>
    <t>TISSIR</t>
  </si>
  <si>
    <t>TOTAL GAZ</t>
  </si>
  <si>
    <t>SAADA</t>
  </si>
  <si>
    <t>DIMAGAZ</t>
  </si>
  <si>
    <t>Type de Bouteilles</t>
  </si>
  <si>
    <t>12Kg</t>
  </si>
  <si>
    <t>6Kg</t>
  </si>
  <si>
    <t>3Kg</t>
  </si>
  <si>
    <t>Nombre de Bouteilles Pleines</t>
  </si>
  <si>
    <t>Nombre de Bouteilles Deffectueuses à Vider*</t>
  </si>
  <si>
    <t>Approvisionnements VRAC</t>
  </si>
  <si>
    <t>SAMIR</t>
  </si>
  <si>
    <t>SOMAS</t>
  </si>
  <si>
    <t>SOMAS Liv</t>
  </si>
  <si>
    <t>Dégaza.</t>
  </si>
  <si>
    <t>Cumul</t>
  </si>
  <si>
    <t>Ex / Coul</t>
  </si>
  <si>
    <t>SOCIETE</t>
  </si>
  <si>
    <t>QUANTITE</t>
  </si>
  <si>
    <t>34KG</t>
  </si>
  <si>
    <t>POIDS</t>
  </si>
  <si>
    <t>TPZ</t>
  </si>
  <si>
    <t>File</t>
  </si>
  <si>
    <t>Installation</t>
  </si>
  <si>
    <t>QUARGAZ</t>
  </si>
  <si>
    <t>Place</t>
  </si>
  <si>
    <t>OUARZAZATE</t>
  </si>
  <si>
    <t>Date</t>
  </si>
  <si>
    <t>Cargo</t>
  </si>
  <si>
    <t>BUTANE</t>
  </si>
  <si>
    <t>SHORE MEASUREMENT GASES</t>
  </si>
  <si>
    <t>Product</t>
  </si>
  <si>
    <t>Hour</t>
  </si>
  <si>
    <t>Level observed mm</t>
  </si>
  <si>
    <t>V  i  d  e</t>
  </si>
  <si>
    <t>Correct. Level mm</t>
  </si>
  <si>
    <t>Liquid Temp. °C</t>
  </si>
  <si>
    <t>Vapour temp  °C</t>
  </si>
  <si>
    <t>Liquid Obs. Volume Litres</t>
  </si>
  <si>
    <t>Shrinkage Factor</t>
  </si>
  <si>
    <t>Corrected Volume Litres</t>
  </si>
  <si>
    <t>Density Vac at 15°C kg/dm3</t>
  </si>
  <si>
    <t>Correct. Factor</t>
  </si>
  <si>
    <t>Density at Temp. Kg/dm3</t>
  </si>
  <si>
    <t>LIQUID WEIGHT  kg</t>
  </si>
  <si>
    <t>Total Tank Vol.   Litres</t>
  </si>
  <si>
    <t>Liquid Obs. Volume  Litres</t>
  </si>
  <si>
    <t>Vapour Volume  Litres</t>
  </si>
  <si>
    <t>Relative Pressure bar</t>
  </si>
  <si>
    <t>Vapour Corr. Factor</t>
  </si>
  <si>
    <t>Density Gas / Air</t>
  </si>
  <si>
    <t>VAPOUR WEIGHT  kg</t>
  </si>
  <si>
    <t>TOTAL WEIGHT  kg</t>
  </si>
  <si>
    <t>TOTAL LIQUID WEIGHT</t>
  </si>
  <si>
    <t xml:space="preserve">kg </t>
  </si>
  <si>
    <t>TOTAL VAPOUR WEIGHT</t>
  </si>
  <si>
    <t>TOTAL WEIGHT IN TANKS</t>
  </si>
  <si>
    <t>Remarques :</t>
  </si>
  <si>
    <t>Un seul barème est utilisé pour les 5 citernes.</t>
  </si>
  <si>
    <t>Le calcul est basée sur une densité @15°C de 0,572 kg/dm3</t>
  </si>
  <si>
    <t>T (°C)</t>
  </si>
  <si>
    <t>C1</t>
  </si>
  <si>
    <t>C2</t>
  </si>
  <si>
    <t>C3</t>
  </si>
  <si>
    <t>C4</t>
  </si>
  <si>
    <t>C5</t>
  </si>
  <si>
    <t xml:space="preserve"> </t>
  </si>
  <si>
    <t>H1</t>
  </si>
  <si>
    <t>H2</t>
  </si>
  <si>
    <t>H3</t>
  </si>
  <si>
    <t>H4</t>
  </si>
  <si>
    <t>H5</t>
  </si>
  <si>
    <t>T1</t>
  </si>
  <si>
    <t>T2</t>
  </si>
  <si>
    <t>T3</t>
  </si>
  <si>
    <t>T4</t>
  </si>
  <si>
    <t>T5</t>
  </si>
  <si>
    <t>R BUT</t>
  </si>
  <si>
    <t>(H-R)1</t>
  </si>
  <si>
    <t>(H-R)2</t>
  </si>
  <si>
    <t>(H-R)3</t>
  </si>
  <si>
    <t>(H-R)4</t>
  </si>
  <si>
    <t>(H-R)5</t>
  </si>
  <si>
    <t>VABS1</t>
  </si>
  <si>
    <t>VABS2</t>
  </si>
  <si>
    <t>VABS3</t>
  </si>
  <si>
    <t>VABS4</t>
  </si>
  <si>
    <t>VABS5</t>
  </si>
  <si>
    <t>VOLUME1</t>
  </si>
  <si>
    <t>VOLUME2</t>
  </si>
  <si>
    <t>VOLUME3</t>
  </si>
  <si>
    <t>VOLUME4</t>
  </si>
  <si>
    <t>VOLUME5</t>
  </si>
  <si>
    <t>DENSITE1</t>
  </si>
  <si>
    <t>DENSITE2</t>
  </si>
  <si>
    <t>DENSITE3</t>
  </si>
  <si>
    <t>DENSITE4</t>
  </si>
  <si>
    <t>DENSITE5</t>
  </si>
  <si>
    <t>TONNAGE 1</t>
  </si>
  <si>
    <t>TONNAGE 2</t>
  </si>
  <si>
    <t>TONNAGE 3</t>
  </si>
  <si>
    <t>TONNAGE 4</t>
  </si>
  <si>
    <t>TONNAGE 5</t>
  </si>
  <si>
    <t>TONNAGE BUTANE</t>
  </si>
  <si>
    <t>Niveau</t>
  </si>
  <si>
    <t>C°</t>
  </si>
  <si>
    <t>P</t>
  </si>
  <si>
    <t>Tonnage</t>
  </si>
  <si>
    <t>STOCK RESERVOIRS GPL</t>
  </si>
  <si>
    <t xml:space="preserve">Pression </t>
  </si>
  <si>
    <t xml:space="preserve">LES VENTES </t>
  </si>
  <si>
    <t>TOTAL+ SAADA</t>
  </si>
  <si>
    <t>12 KG</t>
  </si>
  <si>
    <t>3 KG</t>
  </si>
  <si>
    <t>6 KG</t>
  </si>
  <si>
    <t>Référence N°</t>
  </si>
  <si>
    <t>CB…......................</t>
  </si>
  <si>
    <t>Report date</t>
  </si>
  <si>
    <t>Object</t>
  </si>
  <si>
    <t>INVENTORY</t>
  </si>
  <si>
    <t>Location</t>
  </si>
  <si>
    <t xml:space="preserve">OUARGAZ </t>
  </si>
  <si>
    <t>Gauging date</t>
  </si>
  <si>
    <t>STOCK INVENTORY BUTANE</t>
  </si>
  <si>
    <t>Tank number</t>
  </si>
  <si>
    <t>Tank capacity 100%</t>
  </si>
  <si>
    <t>LIQUID PHASE</t>
  </si>
  <si>
    <t>Innage</t>
  </si>
  <si>
    <t>mm</t>
  </si>
  <si>
    <t>Float correction</t>
  </si>
  <si>
    <t>Tape correction</t>
  </si>
  <si>
    <t>Trim correction</t>
  </si>
  <si>
    <t>Heel correction</t>
  </si>
  <si>
    <t>Other corrections</t>
  </si>
  <si>
    <t>Corrected innage</t>
  </si>
  <si>
    <t>Observed volume</t>
  </si>
  <si>
    <t>litres</t>
  </si>
  <si>
    <t>Temperature</t>
  </si>
  <si>
    <t>Shrinkage factor</t>
  </si>
  <si>
    <t>Corrected Volume</t>
  </si>
  <si>
    <t>V.C.F. Table</t>
  </si>
  <si>
    <t>GSV</t>
  </si>
  <si>
    <t>VAPOUR PHASE</t>
  </si>
  <si>
    <t>Vapour Volume</t>
  </si>
  <si>
    <t>Gauge Pressure</t>
  </si>
  <si>
    <t>TOTALS PER TANK</t>
  </si>
  <si>
    <t xml:space="preserve">Vapeur density : 	12,027*ABSULUTE PRESSURE*MM / (T°C + 273,15)				</t>
  </si>
  <si>
    <t>Signatures</t>
  </si>
  <si>
    <t xml:space="preserve"> RESPONSABLE DU SITE</t>
  </si>
  <si>
    <t>Liters</t>
  </si>
  <si>
    <t>°C</t>
  </si>
  <si>
    <t>Density 15°C</t>
  </si>
  <si>
    <t>kg/l</t>
  </si>
  <si>
    <t>54</t>
  </si>
  <si>
    <t>Liters 15°C</t>
  </si>
  <si>
    <t/>
  </si>
  <si>
    <t>Metric Tons Vac</t>
  </si>
  <si>
    <t>Saturated Vap. Pres.</t>
  </si>
  <si>
    <t>Bar</t>
  </si>
  <si>
    <t>Pressure used</t>
  </si>
  <si>
    <t>Mole Mass</t>
  </si>
  <si>
    <t>gr/Mole</t>
  </si>
  <si>
    <t>Vapour Density</t>
  </si>
  <si>
    <t>MT/cu m</t>
  </si>
  <si>
    <t>Vapour Mass</t>
  </si>
  <si>
    <t>Absolute Pressure</t>
  </si>
  <si>
    <r>
      <rPr>
        <sz val="12"/>
        <rFont val="Arial MT"/>
        <family val="2"/>
      </rPr>
      <t>4qs</t>
    </r>
  </si>
  <si>
    <t>E</t>
  </si>
  <si>
    <t>ASTM-IP</t>
  </si>
  <si>
    <t>TABLE - 54 A (CRUDE OIL)</t>
  </si>
  <si>
    <t>TABLE - 54 D (LUB OIL)</t>
  </si>
  <si>
    <t>DENS. AT 15ºC</t>
  </si>
  <si>
    <t>TEMPERATURE IN Cº</t>
  </si>
  <si>
    <t>V.C.F.</t>
  </si>
  <si>
    <t>TEMP1</t>
  </si>
  <si>
    <t>DENS.</t>
  </si>
  <si>
    <t>AF</t>
  </si>
  <si>
    <t>AQ</t>
  </si>
  <si>
    <t>SP.GR.</t>
  </si>
  <si>
    <t>AH</t>
  </si>
  <si>
    <t>VCF</t>
  </si>
  <si>
    <t>TABLE - 54 B (PRODUCT)</t>
  </si>
  <si>
    <t>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</si>
</sst>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"/>
    <numFmt numFmtId="165" formatCode="0.0000"/>
    <numFmt numFmtId="166" formatCode="#,##0.00000"/>
    <numFmt numFmtId="167" formatCode="#,##0.000"/>
    <numFmt numFmtId="168" formatCode="#,###"/>
    <numFmt numFmtId="169" formatCode="#,##0.0000"/>
    <numFmt numFmtId="170" formatCode="0.000000"/>
    <numFmt numFmtId="171" formatCode="0.000000000000"/>
    <numFmt numFmtId="172" formatCode="#,###.00"/>
    <numFmt numFmtId="173" formatCode="0.0"/>
    <numFmt numFmtId="174" formatCode="#,##0.0000000"/>
  </numFmts>
  <fonts count="3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b/>
      <sz val="10"/>
      <color indexed="12"/>
      <name val="Aptos Narrow"/>
      <family val="2"/>
      <scheme val="minor"/>
    </font>
    <font>
      <i/>
      <sz val="10"/>
      <name val="Arial"/>
      <family val="2"/>
    </font>
    <font>
      <b/>
      <sz val="16"/>
      <name val="Arial"/>
      <family val="2"/>
    </font>
    <font>
      <b/>
      <i/>
      <sz val="12"/>
      <name val="Arial"/>
      <family val="2"/>
    </font>
    <font>
      <b/>
      <sz val="10"/>
      <name val="Aptos Narrow"/>
      <family val="2"/>
      <scheme val="minor"/>
    </font>
    <font>
      <i/>
      <sz val="14"/>
      <name val="Arial"/>
      <family val="2"/>
    </font>
    <font>
      <sz val="10"/>
      <name val="Aptos Narrow"/>
      <family val="2"/>
      <scheme val="minor"/>
    </font>
    <font>
      <b/>
      <i/>
      <sz val="18"/>
      <color rgb="FF00FF00"/>
      <name val="Aptos Narrow"/>
      <family val="2"/>
    </font>
    <font>
      <b/>
      <i/>
      <sz val="18"/>
      <color rgb="FFFF8080"/>
      <name val="Aptos Narrow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sz val="12"/>
      <color indexed="12"/>
      <name val="Arial"/>
      <family val="2"/>
    </font>
    <font>
      <b/>
      <sz val="16"/>
      <color theme="1"/>
      <name val="Arial"/>
      <family val="2"/>
    </font>
    <font>
      <sz val="10"/>
      <color rgb="FF000000"/>
      <name val="Times New Roman"/>
      <family val="1"/>
    </font>
    <font>
      <sz val="12"/>
      <color rgb="FF000000"/>
      <name val="Arial MT"/>
      <family val="2"/>
    </font>
    <font>
      <sz val="12"/>
      <name val="Arial MT"/>
      <family val="2"/>
    </font>
    <font>
      <sz val="48"/>
      <name val="ITSlogo"/>
    </font>
    <font>
      <b/>
      <i/>
      <sz val="18"/>
      <color rgb="FFFFFFFF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3F5FD"/>
        <bgColor indexed="64"/>
      </patternFill>
    </fill>
    <fill>
      <patternFill patternType="solid">
        <fgColor rgb="FFFEE6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9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/>
    <xf numFmtId="9" fontId="1" fillId="0" borderId="0" applyFont="0" applyFill="0" applyBorder="0" applyAlignment="0" applyProtection="0"/>
    <xf numFmtId="0" fontId="25" fillId="9" borderId="0"/>
    <xf numFmtId="0" fontId="31" fillId="0" borderId="0"/>
  </cellStyleXfs>
  <cellXfs count="350">
    <xf numFmtId="0" fontId="0" fillId="0" borderId="0" xfId="0"/>
    <xf numFmtId="0" fontId="5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3" fontId="0" fillId="2" borderId="8" xfId="0" applyNumberForma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>
      <alignment horizontal="center" vertical="center" wrapText="1"/>
    </xf>
    <xf numFmtId="3" fontId="2" fillId="4" borderId="8" xfId="0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7" fillId="0" borderId="0" xfId="1"/>
    <xf numFmtId="0" fontId="9" fillId="0" borderId="0" xfId="1" applyFont="1" applyAlignment="1" applyProtection="1">
      <alignment vertical="center"/>
      <protection locked="0"/>
    </xf>
    <xf numFmtId="0" fontId="10" fillId="0" borderId="0" xfId="1" applyFont="1" applyAlignment="1" applyProtection="1">
      <alignment horizontal="center" vertical="center" wrapText="1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right" vertical="center"/>
      <protection locked="0"/>
    </xf>
    <xf numFmtId="0" fontId="10" fillId="0" borderId="0" xfId="1" applyFont="1" applyAlignment="1" applyProtection="1">
      <alignment vertical="center"/>
      <protection locked="0"/>
    </xf>
    <xf numFmtId="0" fontId="7" fillId="0" borderId="0" xfId="1" applyAlignment="1">
      <alignment horizontal="left"/>
    </xf>
    <xf numFmtId="0" fontId="11" fillId="0" borderId="0" xfId="1" applyFont="1" applyAlignment="1" applyProtection="1">
      <alignment vertical="center"/>
      <protection locked="0"/>
    </xf>
    <xf numFmtId="0" fontId="9" fillId="0" borderId="0" xfId="1" applyFont="1"/>
    <xf numFmtId="0" fontId="10" fillId="0" borderId="0" xfId="1" applyFont="1" applyAlignment="1" applyProtection="1">
      <alignment horizontal="center" vertical="center"/>
      <protection locked="0"/>
    </xf>
    <xf numFmtId="0" fontId="10" fillId="0" borderId="0" xfId="1" applyFont="1"/>
    <xf numFmtId="0" fontId="10" fillId="0" borderId="0" xfId="1" applyFont="1" applyAlignment="1" applyProtection="1">
      <alignment horizontal="right" vertical="center"/>
      <protection locked="0"/>
    </xf>
    <xf numFmtId="0" fontId="10" fillId="0" borderId="0" xfId="1" applyFont="1" applyAlignment="1" applyProtection="1">
      <alignment horizontal="left" vertical="center" indent="1"/>
      <protection locked="0"/>
    </xf>
    <xf numFmtId="0" fontId="14" fillId="0" borderId="0" xfId="1" applyFont="1" applyAlignment="1" applyProtection="1">
      <alignment horizontal="left" vertical="center" indent="1"/>
      <protection locked="0"/>
    </xf>
    <xf numFmtId="0" fontId="7" fillId="0" borderId="0" xfId="1" applyAlignment="1" applyProtection="1">
      <alignment horizontal="right" vertical="center"/>
      <protection locked="0"/>
    </xf>
    <xf numFmtId="0" fontId="7" fillId="0" borderId="0" xfId="1" applyAlignment="1">
      <alignment horizontal="right"/>
    </xf>
    <xf numFmtId="0" fontId="10" fillId="0" borderId="0" xfId="1" applyFont="1" applyAlignment="1">
      <alignment horizontal="right"/>
    </xf>
    <xf numFmtId="0" fontId="14" fillId="0" borderId="0" xfId="1" applyFont="1" applyAlignment="1" applyProtection="1">
      <alignment horizontal="center" vertical="center"/>
      <protection locked="0"/>
    </xf>
    <xf numFmtId="3" fontId="9" fillId="0" borderId="0" xfId="1" applyNumberFormat="1" applyFont="1"/>
    <xf numFmtId="0" fontId="7" fillId="0" borderId="0" xfId="1" applyAlignment="1" applyProtection="1">
      <alignment vertical="center"/>
      <protection locked="0"/>
    </xf>
    <xf numFmtId="3" fontId="10" fillId="0" borderId="0" xfId="1" applyNumberFormat="1" applyFont="1"/>
    <xf numFmtId="0" fontId="6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/>
    </xf>
    <xf numFmtId="0" fontId="9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167" fontId="7" fillId="0" borderId="0" xfId="1" applyNumberFormat="1"/>
    <xf numFmtId="3" fontId="7" fillId="0" borderId="0" xfId="1" applyNumberFormat="1"/>
    <xf numFmtId="0" fontId="15" fillId="0" borderId="0" xfId="1" applyFont="1" applyAlignment="1">
      <alignment horizontal="right" vertical="top"/>
    </xf>
    <xf numFmtId="0" fontId="0" fillId="0" borderId="1" xfId="0" applyBorder="1"/>
    <xf numFmtId="0" fontId="5" fillId="7" borderId="33" xfId="0" applyFont="1" applyFill="1" applyBorder="1" applyAlignment="1">
      <alignment horizontal="center" vertical="center"/>
    </xf>
    <xf numFmtId="0" fontId="5" fillId="7" borderId="34" xfId="0" applyFont="1" applyFill="1" applyBorder="1" applyAlignment="1">
      <alignment horizontal="center" vertical="center"/>
    </xf>
    <xf numFmtId="0" fontId="6" fillId="7" borderId="35" xfId="0" applyFont="1" applyFill="1" applyBorder="1" applyAlignment="1">
      <alignment horizontal="center"/>
    </xf>
    <xf numFmtId="0" fontId="0" fillId="2" borderId="0" xfId="0" applyFill="1"/>
    <xf numFmtId="0" fontId="17" fillId="0" borderId="0" xfId="1" applyFont="1"/>
    <xf numFmtId="14" fontId="17" fillId="0" borderId="0" xfId="1" applyNumberFormat="1" applyFont="1"/>
    <xf numFmtId="0" fontId="20" fillId="0" borderId="34" xfId="1" applyFont="1" applyBorder="1" applyAlignment="1">
      <alignment horizontal="center" vertical="center"/>
    </xf>
    <xf numFmtId="0" fontId="20" fillId="0" borderId="34" xfId="1" applyFont="1" applyBorder="1" applyAlignment="1">
      <alignment horizontal="center" vertical="center" wrapText="1"/>
    </xf>
    <xf numFmtId="0" fontId="20" fillId="0" borderId="37" xfId="1" applyFont="1" applyBorder="1" applyAlignment="1">
      <alignment horizontal="center" vertical="center" wrapText="1"/>
    </xf>
    <xf numFmtId="0" fontId="21" fillId="0" borderId="0" xfId="1" applyFont="1"/>
    <xf numFmtId="1" fontId="16" fillId="0" borderId="36" xfId="1" applyNumberFormat="1" applyFont="1" applyBorder="1" applyAlignment="1">
      <alignment horizontal="center" vertical="center"/>
    </xf>
    <xf numFmtId="2" fontId="16" fillId="0" borderId="36" xfId="1" applyNumberFormat="1" applyFont="1" applyBorder="1" applyAlignment="1">
      <alignment horizontal="center" vertical="center"/>
    </xf>
    <xf numFmtId="1" fontId="22" fillId="0" borderId="36" xfId="1" applyNumberFormat="1" applyFont="1" applyBorder="1" applyAlignment="1">
      <alignment horizontal="center" vertical="center"/>
    </xf>
    <xf numFmtId="1" fontId="22" fillId="8" borderId="36" xfId="1" applyNumberFormat="1" applyFont="1" applyFill="1" applyBorder="1" applyAlignment="1">
      <alignment horizontal="center" vertical="center"/>
    </xf>
    <xf numFmtId="3" fontId="20" fillId="0" borderId="36" xfId="1" applyNumberFormat="1" applyFont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3" fontId="19" fillId="0" borderId="0" xfId="1" applyNumberFormat="1" applyFont="1" applyAlignment="1">
      <alignment horizontal="center" vertical="center"/>
    </xf>
    <xf numFmtId="3" fontId="17" fillId="0" borderId="0" xfId="1" applyNumberFormat="1" applyFont="1"/>
    <xf numFmtId="1" fontId="17" fillId="0" borderId="0" xfId="1" applyNumberFormat="1" applyFont="1"/>
    <xf numFmtId="1" fontId="7" fillId="0" borderId="0" xfId="1" applyNumberFormat="1"/>
    <xf numFmtId="1" fontId="7" fillId="0" borderId="0" xfId="1" applyNumberFormat="1" applyAlignment="1">
      <alignment horizontal="right"/>
    </xf>
    <xf numFmtId="1" fontId="16" fillId="0" borderId="6" xfId="0" applyNumberFormat="1" applyFont="1" applyBorder="1" applyAlignment="1" applyProtection="1">
      <alignment horizontal="center" vertical="center"/>
      <protection locked="0"/>
    </xf>
    <xf numFmtId="2" fontId="16" fillId="0" borderId="6" xfId="0" applyNumberFormat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5" fillId="2" borderId="6" xfId="0" applyNumberFormat="1" applyFont="1" applyFill="1" applyBorder="1" applyAlignment="1" applyProtection="1">
      <alignment horizontal="center" vertical="center"/>
      <protection locked="0"/>
    </xf>
    <xf numFmtId="3" fontId="5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0" fontId="8" fillId="0" borderId="6" xfId="1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9" fontId="0" fillId="0" borderId="0" xfId="2" applyFont="1"/>
    <xf numFmtId="0" fontId="0" fillId="0" borderId="0" xfId="0" applyAlignment="1">
      <alignment horizontal="right"/>
    </xf>
    <xf numFmtId="1" fontId="0" fillId="0" borderId="5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3" fontId="0" fillId="0" borderId="15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0" fontId="5" fillId="3" borderId="40" xfId="0" applyFont="1" applyFill="1" applyBorder="1" applyAlignment="1">
      <alignment horizontal="center" vertical="center"/>
    </xf>
    <xf numFmtId="3" fontId="5" fillId="2" borderId="40" xfId="0" applyNumberFormat="1" applyFont="1" applyFill="1" applyBorder="1" applyAlignment="1" applyProtection="1">
      <alignment horizontal="center" vertical="center"/>
      <protection locked="0"/>
    </xf>
    <xf numFmtId="3" fontId="5" fillId="2" borderId="41" xfId="0" applyNumberFormat="1" applyFont="1" applyFill="1" applyBorder="1" applyAlignment="1" applyProtection="1">
      <alignment horizontal="center" vertical="center"/>
      <protection locked="0"/>
    </xf>
    <xf numFmtId="0" fontId="5" fillId="4" borderId="40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3" fontId="5" fillId="2" borderId="45" xfId="0" applyNumberFormat="1" applyFont="1" applyFill="1" applyBorder="1" applyAlignment="1" applyProtection="1">
      <alignment horizontal="center" vertical="center"/>
      <protection locked="0"/>
    </xf>
    <xf numFmtId="3" fontId="5" fillId="2" borderId="46" xfId="0" applyNumberFormat="1" applyFont="1" applyFill="1" applyBorder="1" applyAlignment="1" applyProtection="1">
      <alignment horizontal="center" vertical="center"/>
      <protection locked="0"/>
    </xf>
    <xf numFmtId="0" fontId="5" fillId="3" borderId="45" xfId="0" applyFont="1" applyFill="1" applyBorder="1" applyAlignment="1">
      <alignment horizontal="center" vertical="center"/>
    </xf>
    <xf numFmtId="3" fontId="5" fillId="5" borderId="6" xfId="0" applyNumberFormat="1" applyFont="1" applyFill="1" applyBorder="1" applyAlignment="1" applyProtection="1">
      <alignment horizontal="center" vertical="center"/>
      <protection locked="0"/>
    </xf>
    <xf numFmtId="3" fontId="5" fillId="5" borderId="8" xfId="0" applyNumberFormat="1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center" vertical="center"/>
    </xf>
    <xf numFmtId="3" fontId="2" fillId="5" borderId="8" xfId="0" applyNumberFormat="1" applyFont="1" applyFill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>
      <alignment horizontal="center" vertical="center" wrapText="1"/>
    </xf>
    <xf numFmtId="3" fontId="5" fillId="2" borderId="50" xfId="0" applyNumberFormat="1" applyFont="1" applyFill="1" applyBorder="1" applyAlignment="1" applyProtection="1">
      <alignment horizontal="center" vertical="center"/>
      <protection locked="0"/>
    </xf>
    <xf numFmtId="0" fontId="26" fillId="10" borderId="51" xfId="3" applyFont="1" applyFill="1" applyBorder="1" applyAlignment="1" applyProtection="1">
      <alignment vertical="center"/>
      <protection locked="0"/>
    </xf>
    <xf numFmtId="0" fontId="27" fillId="11" borderId="0" xfId="3" applyFont="1" applyFill="1" applyProtection="1">
      <protection locked="0"/>
    </xf>
    <xf numFmtId="0" fontId="28" fillId="9" borderId="51" xfId="3" applyFont="1" applyBorder="1" applyProtection="1">
      <protection locked="0"/>
    </xf>
    <xf numFmtId="14" fontId="25" fillId="9" borderId="47" xfId="3" applyNumberFormat="1" applyBorder="1" applyAlignment="1" applyProtection="1">
      <alignment horizontal="left"/>
      <protection locked="0"/>
    </xf>
    <xf numFmtId="14" fontId="29" fillId="9" borderId="49" xfId="3" applyNumberFormat="1" applyFont="1" applyBorder="1" applyAlignment="1" applyProtection="1">
      <alignment horizontal="left"/>
      <protection locked="0"/>
    </xf>
    <xf numFmtId="0" fontId="29" fillId="9" borderId="0" xfId="3" applyFont="1" applyProtection="1">
      <protection locked="0"/>
    </xf>
    <xf numFmtId="0" fontId="28" fillId="9" borderId="47" xfId="3" applyFont="1" applyBorder="1" applyAlignment="1" applyProtection="1">
      <alignment horizontal="left"/>
      <protection locked="0"/>
    </xf>
    <xf numFmtId="0" fontId="29" fillId="9" borderId="49" xfId="3" applyFont="1" applyBorder="1" applyAlignment="1" applyProtection="1">
      <alignment horizontal="left"/>
      <protection locked="0"/>
    </xf>
    <xf numFmtId="0" fontId="28" fillId="9" borderId="51" xfId="3" applyFont="1" applyBorder="1" applyAlignment="1" applyProtection="1">
      <alignment horizontal="left"/>
      <protection locked="0"/>
    </xf>
    <xf numFmtId="0" fontId="28" fillId="9" borderId="52" xfId="3" applyFont="1" applyBorder="1" applyAlignment="1" applyProtection="1">
      <alignment horizontal="left"/>
      <protection locked="0"/>
    </xf>
    <xf numFmtId="14" fontId="25" fillId="9" borderId="9" xfId="3" applyNumberFormat="1" applyBorder="1" applyAlignment="1" applyProtection="1">
      <alignment horizontal="left"/>
      <protection locked="0"/>
    </xf>
    <xf numFmtId="14" fontId="29" fillId="9" borderId="11" xfId="3" applyNumberFormat="1" applyFont="1" applyBorder="1" applyAlignment="1" applyProtection="1">
      <alignment horizontal="left"/>
      <protection locked="0"/>
    </xf>
    <xf numFmtId="0" fontId="28" fillId="9" borderId="0" xfId="3" applyFont="1" applyAlignment="1" applyProtection="1">
      <alignment horizontal="left"/>
      <protection locked="0"/>
    </xf>
    <xf numFmtId="14" fontId="25" fillId="9" borderId="0" xfId="3" applyNumberFormat="1" applyAlignment="1" applyProtection="1">
      <alignment horizontal="left"/>
      <protection locked="0"/>
    </xf>
    <xf numFmtId="14" fontId="29" fillId="9" borderId="0" xfId="3" applyNumberFormat="1" applyFont="1" applyAlignment="1" applyProtection="1">
      <alignment horizontal="left"/>
      <protection locked="0"/>
    </xf>
    <xf numFmtId="0" fontId="29" fillId="11" borderId="0" xfId="3" applyFont="1" applyFill="1" applyProtection="1">
      <protection locked="0"/>
    </xf>
    <xf numFmtId="0" fontId="25" fillId="9" borderId="0" xfId="3"/>
    <xf numFmtId="0" fontId="11" fillId="12" borderId="53" xfId="3" applyFont="1" applyFill="1" applyBorder="1"/>
    <xf numFmtId="0" fontId="11" fillId="12" borderId="54" xfId="3" applyFont="1" applyFill="1" applyBorder="1"/>
    <xf numFmtId="49" fontId="11" fillId="12" borderId="55" xfId="3" applyNumberFormat="1" applyFont="1" applyFill="1" applyBorder="1" applyAlignment="1">
      <alignment horizontal="center"/>
    </xf>
    <xf numFmtId="0" fontId="25" fillId="9" borderId="9" xfId="3" applyBorder="1"/>
    <xf numFmtId="0" fontId="28" fillId="9" borderId="10" xfId="3" applyFont="1" applyBorder="1" applyAlignment="1">
      <alignment horizontal="right"/>
    </xf>
    <xf numFmtId="0" fontId="25" fillId="0" borderId="56" xfId="3" applyFill="1" applyBorder="1" applyAlignment="1">
      <alignment horizontal="center"/>
    </xf>
    <xf numFmtId="0" fontId="11" fillId="12" borderId="57" xfId="3" applyFont="1" applyFill="1" applyBorder="1"/>
    <xf numFmtId="0" fontId="25" fillId="9" borderId="0" xfId="3" applyAlignment="1">
      <alignment horizontal="centerContinuous"/>
    </xf>
    <xf numFmtId="0" fontId="28" fillId="11" borderId="47" xfId="3" applyFont="1" applyFill="1" applyBorder="1" applyAlignment="1">
      <alignment horizontal="left"/>
    </xf>
    <xf numFmtId="0" fontId="28" fillId="9" borderId="48" xfId="3" applyFont="1" applyBorder="1" applyAlignment="1">
      <alignment horizontal="center"/>
    </xf>
    <xf numFmtId="0" fontId="28" fillId="11" borderId="58" xfId="3" applyFont="1" applyFill="1" applyBorder="1"/>
    <xf numFmtId="0" fontId="28" fillId="9" borderId="59" xfId="3" applyFont="1" applyBorder="1" applyAlignment="1">
      <alignment horizontal="center"/>
    </xf>
    <xf numFmtId="0" fontId="25" fillId="9" borderId="60" xfId="3" applyBorder="1" applyAlignment="1">
      <alignment horizontal="center"/>
    </xf>
    <xf numFmtId="0" fontId="25" fillId="9" borderId="61" xfId="3" applyBorder="1"/>
    <xf numFmtId="0" fontId="28" fillId="9" borderId="20" xfId="3" applyFont="1" applyBorder="1" applyAlignment="1">
      <alignment horizontal="center"/>
    </xf>
    <xf numFmtId="0" fontId="25" fillId="9" borderId="62" xfId="3" applyBorder="1" applyAlignment="1">
      <alignment horizontal="center"/>
    </xf>
    <xf numFmtId="0" fontId="28" fillId="11" borderId="61" xfId="3" applyFont="1" applyFill="1" applyBorder="1"/>
    <xf numFmtId="0" fontId="25" fillId="5" borderId="62" xfId="3" applyFill="1" applyBorder="1" applyAlignment="1">
      <alignment horizontal="center"/>
    </xf>
    <xf numFmtId="168" fontId="25" fillId="0" borderId="62" xfId="3" applyNumberFormat="1" applyFill="1" applyBorder="1" applyAlignment="1">
      <alignment horizontal="center"/>
    </xf>
    <xf numFmtId="0" fontId="25" fillId="9" borderId="61" xfId="3" applyBorder="1" applyAlignment="1">
      <alignment horizontal="left"/>
    </xf>
    <xf numFmtId="0" fontId="28" fillId="11" borderId="20" xfId="3" applyFont="1" applyFill="1" applyBorder="1" applyAlignment="1">
      <alignment horizontal="center"/>
    </xf>
    <xf numFmtId="2" fontId="25" fillId="5" borderId="62" xfId="3" applyNumberFormat="1" applyFill="1" applyBorder="1" applyAlignment="1">
      <alignment horizontal="center"/>
    </xf>
    <xf numFmtId="165" fontId="28" fillId="11" borderId="62" xfId="3" applyNumberFormat="1" applyFont="1" applyFill="1" applyBorder="1" applyAlignment="1">
      <alignment horizontal="center"/>
    </xf>
    <xf numFmtId="168" fontId="28" fillId="11" borderId="62" xfId="3" applyNumberFormat="1" applyFont="1" applyFill="1" applyBorder="1" applyAlignment="1">
      <alignment horizontal="center"/>
    </xf>
    <xf numFmtId="165" fontId="28" fillId="0" borderId="62" xfId="3" applyNumberFormat="1" applyFont="1" applyFill="1" applyBorder="1" applyAlignment="1">
      <alignment horizontal="center"/>
    </xf>
    <xf numFmtId="0" fontId="28" fillId="11" borderId="20" xfId="3" applyFont="1" applyFill="1" applyBorder="1" applyAlignment="1">
      <alignment horizontal="right"/>
    </xf>
    <xf numFmtId="0" fontId="25" fillId="0" borderId="61" xfId="1" applyFont="1" applyBorder="1"/>
    <xf numFmtId="169" fontId="28" fillId="11" borderId="62" xfId="3" applyNumberFormat="1" applyFont="1" applyFill="1" applyBorder="1" applyAlignment="1">
      <alignment horizontal="center"/>
    </xf>
    <xf numFmtId="0" fontId="28" fillId="11" borderId="63" xfId="3" applyFont="1" applyFill="1" applyBorder="1"/>
    <xf numFmtId="0" fontId="28" fillId="11" borderId="64" xfId="3" applyFont="1" applyFill="1" applyBorder="1" applyAlignment="1">
      <alignment horizontal="center"/>
    </xf>
    <xf numFmtId="167" fontId="28" fillId="11" borderId="65" xfId="3" applyNumberFormat="1" applyFont="1" applyFill="1" applyBorder="1" applyAlignment="1">
      <alignment horizontal="center"/>
    </xf>
    <xf numFmtId="0" fontId="26" fillId="12" borderId="66" xfId="3" applyFont="1" applyFill="1" applyBorder="1"/>
    <xf numFmtId="0" fontId="28" fillId="11" borderId="67" xfId="3" applyFont="1" applyFill="1" applyBorder="1"/>
    <xf numFmtId="0" fontId="28" fillId="11" borderId="68" xfId="3" applyFont="1" applyFill="1" applyBorder="1" applyAlignment="1">
      <alignment horizontal="center"/>
    </xf>
    <xf numFmtId="168" fontId="28" fillId="11" borderId="55" xfId="3" applyNumberFormat="1" applyFont="1" applyFill="1" applyBorder="1" applyAlignment="1">
      <alignment horizontal="center"/>
    </xf>
    <xf numFmtId="2" fontId="25" fillId="9" borderId="62" xfId="3" applyNumberFormat="1" applyBorder="1" applyAlignment="1">
      <alignment horizontal="center"/>
    </xf>
    <xf numFmtId="167" fontId="28" fillId="5" borderId="62" xfId="3" applyNumberFormat="1" applyFont="1" applyFill="1" applyBorder="1" applyAlignment="1">
      <alignment horizontal="center"/>
    </xf>
    <xf numFmtId="167" fontId="28" fillId="11" borderId="62" xfId="3" applyNumberFormat="1" applyFont="1" applyFill="1" applyBorder="1" applyAlignment="1">
      <alignment horizontal="center"/>
    </xf>
    <xf numFmtId="167" fontId="28" fillId="0" borderId="62" xfId="3" applyNumberFormat="1" applyFont="1" applyFill="1" applyBorder="1" applyAlignment="1">
      <alignment horizontal="center"/>
    </xf>
    <xf numFmtId="0" fontId="28" fillId="11" borderId="61" xfId="1" applyFont="1" applyFill="1" applyBorder="1"/>
    <xf numFmtId="170" fontId="28" fillId="11" borderId="62" xfId="3" applyNumberFormat="1" applyFont="1" applyFill="1" applyBorder="1" applyAlignment="1">
      <alignment horizontal="center"/>
    </xf>
    <xf numFmtId="171" fontId="7" fillId="0" borderId="0" xfId="1" applyNumberFormat="1"/>
    <xf numFmtId="0" fontId="28" fillId="11" borderId="69" xfId="1" applyFont="1" applyFill="1" applyBorder="1"/>
    <xf numFmtId="0" fontId="28" fillId="11" borderId="70" xfId="3" applyFont="1" applyFill="1" applyBorder="1" applyAlignment="1">
      <alignment horizontal="center"/>
    </xf>
    <xf numFmtId="0" fontId="28" fillId="11" borderId="71" xfId="3" applyFont="1" applyFill="1" applyBorder="1" applyAlignment="1">
      <alignment horizontal="center"/>
    </xf>
    <xf numFmtId="0" fontId="28" fillId="11" borderId="70" xfId="3" applyFont="1" applyFill="1" applyBorder="1" applyAlignment="1">
      <alignment horizontal="right"/>
    </xf>
    <xf numFmtId="167" fontId="28" fillId="11" borderId="71" xfId="3" applyNumberFormat="1" applyFont="1" applyFill="1" applyBorder="1" applyAlignment="1">
      <alignment horizontal="center"/>
    </xf>
    <xf numFmtId="168" fontId="28" fillId="11" borderId="71" xfId="3" applyNumberFormat="1" applyFont="1" applyFill="1" applyBorder="1" applyAlignment="1">
      <alignment horizontal="center"/>
    </xf>
    <xf numFmtId="0" fontId="28" fillId="11" borderId="63" xfId="1" applyFont="1" applyFill="1" applyBorder="1" applyAlignment="1">
      <alignment horizontal="left"/>
    </xf>
    <xf numFmtId="0" fontId="28" fillId="11" borderId="64" xfId="3" applyFont="1" applyFill="1" applyBorder="1" applyAlignment="1">
      <alignment horizontal="right"/>
    </xf>
    <xf numFmtId="0" fontId="11" fillId="12" borderId="66" xfId="3" applyFont="1" applyFill="1" applyBorder="1"/>
    <xf numFmtId="0" fontId="28" fillId="11" borderId="0" xfId="3" applyFont="1" applyFill="1" applyAlignment="1">
      <alignment horizontal="right"/>
    </xf>
    <xf numFmtId="172" fontId="28" fillId="11" borderId="0" xfId="3" applyNumberFormat="1" applyFont="1" applyFill="1"/>
    <xf numFmtId="0" fontId="25" fillId="0" borderId="12" xfId="1" applyFont="1" applyBorder="1"/>
    <xf numFmtId="0" fontId="28" fillId="11" borderId="4" xfId="3" applyFont="1" applyFill="1" applyBorder="1" applyAlignment="1">
      <alignment horizontal="center"/>
    </xf>
    <xf numFmtId="167" fontId="28" fillId="11" borderId="4" xfId="3" applyNumberFormat="1" applyFont="1" applyFill="1" applyBorder="1" applyAlignment="1">
      <alignment horizontal="center" vertical="center"/>
    </xf>
    <xf numFmtId="0" fontId="6" fillId="0" borderId="12" xfId="1" applyFont="1" applyBorder="1"/>
    <xf numFmtId="0" fontId="6" fillId="0" borderId="75" xfId="1" applyFont="1" applyBorder="1"/>
    <xf numFmtId="0" fontId="6" fillId="0" borderId="14" xfId="1" applyFont="1" applyBorder="1"/>
    <xf numFmtId="0" fontId="6" fillId="0" borderId="0" xfId="1" applyFont="1"/>
    <xf numFmtId="0" fontId="6" fillId="0" borderId="0" xfId="1" applyFont="1" applyAlignment="1">
      <alignment horizontal="center"/>
    </xf>
    <xf numFmtId="1" fontId="25" fillId="5" borderId="36" xfId="3" applyNumberFormat="1" applyFill="1" applyBorder="1" applyAlignment="1">
      <alignment horizontal="center"/>
    </xf>
    <xf numFmtId="167" fontId="20" fillId="5" borderId="38" xfId="1" applyNumberFormat="1" applyFont="1" applyFill="1" applyBorder="1" applyAlignment="1">
      <alignment horizontal="center" vertical="center"/>
    </xf>
    <xf numFmtId="174" fontId="28" fillId="0" borderId="62" xfId="3" applyNumberFormat="1" applyFont="1" applyFill="1" applyBorder="1" applyAlignment="1">
      <alignment horizontal="center"/>
    </xf>
    <xf numFmtId="1" fontId="32" fillId="0" borderId="6" xfId="4" applyNumberFormat="1" applyFont="1" applyBorder="1" applyAlignment="1">
      <alignment horizontal="center" vertical="top" shrinkToFit="1"/>
    </xf>
    <xf numFmtId="1" fontId="32" fillId="2" borderId="6" xfId="4" applyNumberFormat="1" applyFont="1" applyFill="1" applyBorder="1" applyAlignment="1">
      <alignment horizontal="center" vertical="top" shrinkToFit="1"/>
    </xf>
    <xf numFmtId="1" fontId="32" fillId="13" borderId="6" xfId="4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/>
    </xf>
    <xf numFmtId="0" fontId="6" fillId="0" borderId="0" xfId="0" applyFont="1"/>
    <xf numFmtId="0" fontId="6" fillId="0" borderId="57" xfId="0" applyFont="1" applyBorder="1" applyAlignment="1">
      <alignment horizontal="center"/>
    </xf>
    <xf numFmtId="0" fontId="0" fillId="0" borderId="57" xfId="0" applyBorder="1"/>
    <xf numFmtId="1" fontId="6" fillId="0" borderId="0" xfId="0" applyNumberFormat="1" applyFont="1" applyAlignment="1">
      <alignment horizontal="center"/>
    </xf>
    <xf numFmtId="165" fontId="6" fillId="14" borderId="66" xfId="0" applyNumberFormat="1" applyFont="1" applyFill="1" applyBorder="1" applyAlignment="1" applyProtection="1">
      <alignment horizontal="center"/>
      <protection locked="0"/>
    </xf>
    <xf numFmtId="2" fontId="6" fillId="14" borderId="66" xfId="0" applyNumberFormat="1" applyFont="1" applyFill="1" applyBorder="1" applyAlignment="1" applyProtection="1">
      <alignment horizontal="center"/>
      <protection locked="0"/>
    </xf>
    <xf numFmtId="0" fontId="0" fillId="0" borderId="52" xfId="0" applyBorder="1"/>
    <xf numFmtId="0" fontId="6" fillId="0" borderId="52" xfId="0" applyFont="1" applyBorder="1"/>
    <xf numFmtId="0" fontId="6" fillId="0" borderId="66" xfId="0" applyFont="1" applyBorder="1" applyAlignment="1">
      <alignment horizontal="center"/>
    </xf>
    <xf numFmtId="165" fontId="6" fillId="15" borderId="66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3" fontId="6" fillId="0" borderId="0" xfId="0" applyNumberFormat="1" applyFont="1" applyAlignment="1" applyProtection="1">
      <alignment horizontal="center"/>
      <protection locked="0"/>
    </xf>
    <xf numFmtId="173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1" fontId="32" fillId="5" borderId="6" xfId="4" applyNumberFormat="1" applyFont="1" applyFill="1" applyBorder="1" applyAlignment="1">
      <alignment horizontal="center" vertical="top" shrinkToFit="1"/>
    </xf>
    <xf numFmtId="1" fontId="32" fillId="6" borderId="6" xfId="4" applyNumberFormat="1" applyFont="1" applyFill="1" applyBorder="1" applyAlignment="1">
      <alignment horizontal="center" vertical="top" shrinkToFit="1"/>
    </xf>
    <xf numFmtId="0" fontId="2" fillId="5" borderId="15" xfId="0" applyFont="1" applyFill="1" applyBorder="1" applyAlignment="1" applyProtection="1">
      <alignment horizontal="center" vertical="center"/>
      <protection locked="0"/>
    </xf>
    <xf numFmtId="14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43" xfId="0" applyFont="1" applyFill="1" applyBorder="1" applyAlignment="1">
      <alignment horizontal="center" vertical="center" wrapText="1"/>
    </xf>
    <xf numFmtId="14" fontId="4" fillId="3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 wrapText="1"/>
    </xf>
    <xf numFmtId="0" fontId="5" fillId="2" borderId="42" xfId="0" applyFont="1" applyFill="1" applyBorder="1" applyAlignment="1">
      <alignment horizontal="center" vertical="center" wrapText="1"/>
    </xf>
    <xf numFmtId="0" fontId="5" fillId="3" borderId="4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8" fillId="4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/>
    </xf>
    <xf numFmtId="0" fontId="2" fillId="5" borderId="48" xfId="0" applyFont="1" applyFill="1" applyBorder="1" applyAlignment="1">
      <alignment horizontal="center"/>
    </xf>
    <xf numFmtId="0" fontId="2" fillId="5" borderId="4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14" fontId="2" fillId="3" borderId="6" xfId="0" applyNumberFormat="1" applyFont="1" applyFill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14" fillId="0" borderId="6" xfId="1" applyFont="1" applyBorder="1" applyAlignment="1" applyProtection="1">
      <alignment horizontal="left" vertical="center" indent="1"/>
      <protection locked="0"/>
    </xf>
    <xf numFmtId="3" fontId="7" fillId="0" borderId="25" xfId="1" applyNumberFormat="1" applyBorder="1" applyAlignment="1" applyProtection="1">
      <alignment horizontal="right" vertical="center"/>
      <protection locked="0"/>
    </xf>
    <xf numFmtId="3" fontId="7" fillId="0" borderId="29" xfId="1" applyNumberFormat="1" applyBorder="1" applyAlignment="1" applyProtection="1">
      <alignment horizontal="right" vertical="center"/>
      <protection locked="0"/>
    </xf>
    <xf numFmtId="0" fontId="7" fillId="0" borderId="30" xfId="1" applyBorder="1" applyAlignment="1" applyProtection="1">
      <alignment horizontal="left" vertical="center"/>
      <protection locked="0"/>
    </xf>
    <xf numFmtId="0" fontId="7" fillId="0" borderId="6" xfId="1" applyBorder="1" applyAlignment="1" applyProtection="1">
      <alignment horizontal="left" vertical="center"/>
      <protection locked="0"/>
    </xf>
    <xf numFmtId="0" fontId="14" fillId="0" borderId="32" xfId="1" applyFont="1" applyBorder="1" applyAlignment="1" applyProtection="1">
      <alignment horizontal="left" vertical="center"/>
      <protection locked="0"/>
    </xf>
    <xf numFmtId="3" fontId="10" fillId="0" borderId="32" xfId="1" applyNumberFormat="1" applyFont="1" applyBorder="1" applyAlignment="1" applyProtection="1">
      <alignment horizontal="right" vertical="center"/>
      <protection locked="0"/>
    </xf>
    <xf numFmtId="0" fontId="10" fillId="0" borderId="32" xfId="1" applyFont="1" applyBorder="1" applyAlignment="1" applyProtection="1">
      <alignment horizontal="left" vertical="center"/>
      <protection locked="0"/>
    </xf>
    <xf numFmtId="3" fontId="10" fillId="0" borderId="26" xfId="1" applyNumberFormat="1" applyFont="1" applyBorder="1" applyAlignment="1" applyProtection="1">
      <alignment horizontal="right" vertical="center"/>
      <protection locked="0"/>
    </xf>
    <xf numFmtId="0" fontId="10" fillId="0" borderId="0" xfId="1" applyFont="1" applyAlignment="1" applyProtection="1">
      <alignment horizontal="right" vertical="center"/>
      <protection locked="0"/>
    </xf>
    <xf numFmtId="3" fontId="7" fillId="6" borderId="25" xfId="1" applyNumberFormat="1" applyFill="1" applyBorder="1" applyAlignment="1" applyProtection="1">
      <alignment horizontal="right" vertical="center"/>
      <protection locked="0"/>
    </xf>
    <xf numFmtId="3" fontId="7" fillId="6" borderId="29" xfId="1" applyNumberFormat="1" applyFill="1" applyBorder="1" applyAlignment="1" applyProtection="1">
      <alignment horizontal="right" vertical="center"/>
      <protection locked="0"/>
    </xf>
    <xf numFmtId="0" fontId="7" fillId="6" borderId="30" xfId="1" applyFill="1" applyBorder="1" applyAlignment="1" applyProtection="1">
      <alignment horizontal="left" vertical="center"/>
      <protection locked="0"/>
    </xf>
    <xf numFmtId="0" fontId="7" fillId="6" borderId="6" xfId="1" applyFill="1" applyBorder="1" applyAlignment="1" applyProtection="1">
      <alignment horizontal="left" vertical="center"/>
      <protection locked="0"/>
    </xf>
    <xf numFmtId="0" fontId="14" fillId="0" borderId="6" xfId="1" applyFont="1" applyBorder="1" applyAlignment="1">
      <alignment horizontal="left" vertical="center" indent="1"/>
    </xf>
    <xf numFmtId="3" fontId="7" fillId="0" borderId="6" xfId="1" applyNumberFormat="1" applyBorder="1" applyAlignment="1" applyProtection="1">
      <alignment horizontal="right" vertical="center"/>
      <protection locked="0"/>
    </xf>
    <xf numFmtId="0" fontId="7" fillId="0" borderId="6" xfId="1" applyBorder="1" applyAlignment="1" applyProtection="1">
      <alignment horizontal="right" vertical="center"/>
      <protection locked="0"/>
    </xf>
    <xf numFmtId="166" fontId="10" fillId="0" borderId="26" xfId="1" applyNumberFormat="1" applyFont="1" applyBorder="1" applyAlignment="1" applyProtection="1">
      <alignment horizontal="right" vertical="center"/>
      <protection locked="0"/>
    </xf>
    <xf numFmtId="166" fontId="10" fillId="0" borderId="0" xfId="1" applyNumberFormat="1" applyFont="1" applyAlignment="1" applyProtection="1">
      <alignment horizontal="right" vertical="center"/>
      <protection locked="0"/>
    </xf>
    <xf numFmtId="0" fontId="14" fillId="0" borderId="25" xfId="1" applyFont="1" applyBorder="1" applyAlignment="1">
      <alignment horizontal="left" vertical="center" indent="1"/>
    </xf>
    <xf numFmtId="3" fontId="10" fillId="0" borderId="0" xfId="1" applyNumberFormat="1" applyFont="1" applyAlignment="1" applyProtection="1">
      <alignment horizontal="right" vertical="center"/>
      <protection locked="0"/>
    </xf>
    <xf numFmtId="0" fontId="10" fillId="0" borderId="6" xfId="1" applyFont="1" applyBorder="1" applyAlignment="1" applyProtection="1">
      <alignment horizontal="left" vertical="center" indent="1"/>
      <protection locked="0"/>
    </xf>
    <xf numFmtId="0" fontId="10" fillId="0" borderId="6" xfId="1" applyFont="1" applyBorder="1" applyAlignment="1">
      <alignment horizontal="left" vertical="center" indent="1"/>
    </xf>
    <xf numFmtId="0" fontId="10" fillId="0" borderId="25" xfId="1" applyFont="1" applyBorder="1" applyAlignment="1">
      <alignment horizontal="left" vertical="center" indent="1"/>
    </xf>
    <xf numFmtId="166" fontId="7" fillId="0" borderId="6" xfId="1" applyNumberFormat="1" applyBorder="1" applyAlignment="1" applyProtection="1">
      <alignment horizontal="right" vertical="center"/>
      <protection locked="0"/>
    </xf>
    <xf numFmtId="4" fontId="10" fillId="0" borderId="26" xfId="1" applyNumberFormat="1" applyFont="1" applyBorder="1" applyAlignment="1" applyProtection="1">
      <alignment horizontal="right" vertical="center"/>
      <protection locked="0"/>
    </xf>
    <xf numFmtId="4" fontId="10" fillId="0" borderId="0" xfId="1" applyNumberFormat="1" applyFont="1" applyAlignment="1" applyProtection="1">
      <alignment horizontal="right" vertical="center"/>
      <protection locked="0"/>
    </xf>
    <xf numFmtId="167" fontId="7" fillId="0" borderId="6" xfId="1" applyNumberFormat="1" applyBorder="1" applyAlignment="1" applyProtection="1">
      <alignment horizontal="right" vertical="center"/>
      <protection locked="0"/>
    </xf>
    <xf numFmtId="167" fontId="10" fillId="0" borderId="26" xfId="1" applyNumberFormat="1" applyFont="1" applyBorder="1" applyAlignment="1" applyProtection="1">
      <alignment horizontal="right" vertical="center"/>
      <protection locked="0"/>
    </xf>
    <xf numFmtId="167" fontId="10" fillId="0" borderId="0" xfId="1" applyNumberFormat="1" applyFont="1" applyAlignment="1" applyProtection="1">
      <alignment horizontal="right" vertical="center"/>
      <protection locked="0"/>
    </xf>
    <xf numFmtId="164" fontId="7" fillId="5" borderId="25" xfId="1" applyNumberFormat="1" applyFill="1" applyBorder="1" applyAlignment="1" applyProtection="1">
      <alignment horizontal="right" vertical="center"/>
      <protection locked="0"/>
    </xf>
    <xf numFmtId="164" fontId="7" fillId="5" borderId="29" xfId="1" applyNumberFormat="1" applyFill="1" applyBorder="1" applyAlignment="1" applyProtection="1">
      <alignment horizontal="right" vertical="center"/>
      <protection locked="0"/>
    </xf>
    <xf numFmtId="164" fontId="7" fillId="5" borderId="30" xfId="1" applyNumberFormat="1" applyFill="1" applyBorder="1" applyAlignment="1" applyProtection="1">
      <alignment horizontal="right" vertical="center"/>
      <protection locked="0"/>
    </xf>
    <xf numFmtId="4" fontId="7" fillId="0" borderId="6" xfId="1" applyNumberFormat="1" applyBorder="1" applyAlignment="1" applyProtection="1">
      <alignment horizontal="right" vertical="center"/>
      <protection locked="0"/>
    </xf>
    <xf numFmtId="0" fontId="6" fillId="0" borderId="6" xfId="1" applyFont="1" applyBorder="1" applyAlignment="1" applyProtection="1">
      <alignment horizontal="left" vertical="center" indent="1"/>
      <protection locked="0"/>
    </xf>
    <xf numFmtId="0" fontId="6" fillId="0" borderId="6" xfId="1" applyFont="1" applyBorder="1" applyAlignment="1">
      <alignment horizontal="left" vertical="center" indent="1"/>
    </xf>
    <xf numFmtId="0" fontId="6" fillId="0" borderId="25" xfId="1" applyFont="1" applyBorder="1" applyAlignment="1">
      <alignment horizontal="left" vertical="center" indent="1"/>
    </xf>
    <xf numFmtId="3" fontId="7" fillId="0" borderId="31" xfId="1" applyNumberFormat="1" applyBorder="1" applyAlignment="1" applyProtection="1">
      <alignment horizontal="right" vertical="center"/>
      <protection locked="0"/>
    </xf>
    <xf numFmtId="0" fontId="7" fillId="0" borderId="6" xfId="1" applyBorder="1" applyAlignment="1" applyProtection="1">
      <alignment horizontal="left" vertical="center" indent="1"/>
      <protection locked="0"/>
    </xf>
    <xf numFmtId="0" fontId="7" fillId="0" borderId="6" xfId="1" applyBorder="1" applyAlignment="1">
      <alignment horizontal="left" vertical="center" indent="1"/>
    </xf>
    <xf numFmtId="0" fontId="7" fillId="0" borderId="25" xfId="1" applyBorder="1" applyAlignment="1">
      <alignment horizontal="left" vertical="center" indent="1"/>
    </xf>
    <xf numFmtId="165" fontId="7" fillId="0" borderId="6" xfId="1" applyNumberFormat="1" applyBorder="1" applyAlignment="1" applyProtection="1">
      <alignment horizontal="right" vertical="center"/>
      <protection locked="0"/>
    </xf>
    <xf numFmtId="0" fontId="10" fillId="0" borderId="26" xfId="1" applyFont="1" applyBorder="1" applyAlignment="1" applyProtection="1">
      <alignment horizontal="right" vertical="center"/>
      <protection locked="0"/>
    </xf>
    <xf numFmtId="165" fontId="10" fillId="0" borderId="26" xfId="1" applyNumberFormat="1" applyFont="1" applyBorder="1" applyAlignment="1" applyProtection="1">
      <alignment horizontal="right" vertical="center"/>
      <protection locked="0"/>
    </xf>
    <xf numFmtId="165" fontId="10" fillId="0" borderId="0" xfId="1" applyNumberFormat="1" applyFont="1" applyAlignment="1" applyProtection="1">
      <alignment horizontal="right" vertical="center"/>
      <protection locked="0"/>
    </xf>
    <xf numFmtId="164" fontId="7" fillId="5" borderId="6" xfId="1" applyNumberFormat="1" applyFill="1" applyBorder="1" applyAlignment="1" applyProtection="1">
      <alignment horizontal="right" vertical="center"/>
      <protection locked="0"/>
    </xf>
    <xf numFmtId="3" fontId="12" fillId="5" borderId="6" xfId="1" applyNumberFormat="1" applyFont="1" applyFill="1" applyBorder="1" applyAlignment="1" applyProtection="1">
      <alignment horizontal="right" vertical="center"/>
      <protection locked="0"/>
    </xf>
    <xf numFmtId="3" fontId="13" fillId="0" borderId="26" xfId="1" applyNumberFormat="1" applyFont="1" applyBorder="1" applyAlignment="1" applyProtection="1">
      <alignment horizontal="center" vertical="center" textRotation="71"/>
      <protection locked="0"/>
    </xf>
    <xf numFmtId="3" fontId="13" fillId="0" borderId="0" xfId="1" applyNumberFormat="1" applyFont="1" applyAlignment="1" applyProtection="1">
      <alignment horizontal="center" vertical="center" textRotation="71"/>
      <protection locked="0"/>
    </xf>
    <xf numFmtId="3" fontId="13" fillId="0" borderId="28" xfId="1" applyNumberFormat="1" applyFont="1" applyBorder="1" applyAlignment="1" applyProtection="1">
      <alignment horizontal="center" vertical="center" textRotation="71"/>
      <protection locked="0"/>
    </xf>
    <xf numFmtId="0" fontId="13" fillId="0" borderId="26" xfId="1" applyFont="1" applyBorder="1" applyAlignment="1">
      <alignment horizontal="center" vertical="center" textRotation="71"/>
    </xf>
    <xf numFmtId="0" fontId="13" fillId="0" borderId="0" xfId="1" applyFont="1" applyAlignment="1">
      <alignment horizontal="center" vertical="center" textRotation="71"/>
    </xf>
    <xf numFmtId="0" fontId="13" fillId="0" borderId="28" xfId="1" applyFont="1" applyBorder="1" applyAlignment="1">
      <alignment horizontal="center" vertical="center" textRotation="71"/>
    </xf>
    <xf numFmtId="4" fontId="7" fillId="5" borderId="6" xfId="1" applyNumberFormat="1" applyFill="1" applyBorder="1" applyAlignment="1" applyProtection="1">
      <alignment horizontal="right" vertical="center"/>
      <protection locked="0"/>
    </xf>
    <xf numFmtId="14" fontId="10" fillId="0" borderId="26" xfId="1" applyNumberFormat="1" applyFont="1" applyBorder="1" applyAlignment="1" applyProtection="1">
      <alignment horizontal="right" vertical="center"/>
      <protection locked="0"/>
    </xf>
    <xf numFmtId="14" fontId="10" fillId="0" borderId="0" xfId="1" applyNumberFormat="1" applyFont="1" applyAlignment="1" applyProtection="1">
      <alignment horizontal="right" vertical="center"/>
      <protection locked="0"/>
    </xf>
    <xf numFmtId="20" fontId="7" fillId="5" borderId="6" xfId="1" applyNumberFormat="1" applyFill="1" applyBorder="1" applyAlignment="1" applyProtection="1">
      <alignment horizontal="center" vertical="center"/>
      <protection locked="0"/>
    </xf>
    <xf numFmtId="20" fontId="7" fillId="0" borderId="27" xfId="1" applyNumberFormat="1" applyBorder="1" applyAlignment="1" applyProtection="1">
      <alignment horizontal="right" vertical="center"/>
      <protection locked="0"/>
    </xf>
    <xf numFmtId="20" fontId="10" fillId="0" borderId="26" xfId="1" applyNumberFormat="1" applyFont="1" applyBorder="1" applyAlignment="1" applyProtection="1">
      <alignment horizontal="right" vertical="center"/>
      <protection locked="0"/>
    </xf>
    <xf numFmtId="20" fontId="10" fillId="0" borderId="0" xfId="1" applyNumberFormat="1" applyFont="1" applyAlignment="1" applyProtection="1">
      <alignment horizontal="right" vertical="center"/>
      <protection locked="0"/>
    </xf>
    <xf numFmtId="0" fontId="7" fillId="0" borderId="25" xfId="1" applyBorder="1" applyAlignment="1" applyProtection="1">
      <alignment horizontal="left" vertical="center" indent="1"/>
      <protection locked="0"/>
    </xf>
    <xf numFmtId="14" fontId="7" fillId="5" borderId="6" xfId="1" applyNumberFormat="1" applyFill="1" applyBorder="1" applyAlignment="1" applyProtection="1">
      <alignment horizontal="center" vertical="center"/>
      <protection locked="0"/>
    </xf>
    <xf numFmtId="14" fontId="7" fillId="0" borderId="6" xfId="1" applyNumberFormat="1" applyBorder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7" fillId="0" borderId="6" xfId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7" fillId="0" borderId="16" xfId="1" applyBorder="1" applyAlignment="1" applyProtection="1">
      <alignment vertical="center"/>
      <protection locked="0"/>
    </xf>
    <xf numFmtId="0" fontId="7" fillId="0" borderId="17" xfId="1" applyBorder="1" applyAlignment="1" applyProtection="1">
      <alignment vertical="center"/>
      <protection locked="0"/>
    </xf>
    <xf numFmtId="0" fontId="7" fillId="0" borderId="18" xfId="1" applyBorder="1" applyAlignment="1" applyProtection="1">
      <alignment vertical="center"/>
      <protection locked="0"/>
    </xf>
    <xf numFmtId="0" fontId="7" fillId="0" borderId="16" xfId="1" applyBorder="1" applyAlignment="1">
      <alignment horizontal="center"/>
    </xf>
    <xf numFmtId="0" fontId="7" fillId="0" borderId="17" xfId="1" applyBorder="1" applyAlignment="1">
      <alignment horizontal="center"/>
    </xf>
    <xf numFmtId="0" fontId="7" fillId="0" borderId="18" xfId="1" applyBorder="1" applyAlignment="1">
      <alignment horizontal="center"/>
    </xf>
    <xf numFmtId="0" fontId="7" fillId="0" borderId="19" xfId="1" applyBorder="1" applyAlignment="1" applyProtection="1">
      <alignment vertical="center"/>
      <protection locked="0"/>
    </xf>
    <xf numFmtId="0" fontId="7" fillId="0" borderId="20" xfId="1" applyBorder="1" applyAlignment="1" applyProtection="1">
      <alignment vertical="center"/>
      <protection locked="0"/>
    </xf>
    <xf numFmtId="0" fontId="7" fillId="0" borderId="21" xfId="1" applyBorder="1" applyAlignment="1" applyProtection="1">
      <alignment vertical="center"/>
      <protection locked="0"/>
    </xf>
    <xf numFmtId="0" fontId="7" fillId="0" borderId="19" xfId="1" applyBorder="1" applyAlignment="1">
      <alignment horizontal="left"/>
    </xf>
    <xf numFmtId="0" fontId="7" fillId="0" borderId="20" xfId="1" applyBorder="1" applyAlignment="1">
      <alignment horizontal="left"/>
    </xf>
    <xf numFmtId="0" fontId="7" fillId="0" borderId="21" xfId="1" applyBorder="1" applyAlignment="1">
      <alignment horizontal="left"/>
    </xf>
    <xf numFmtId="14" fontId="7" fillId="0" borderId="19" xfId="1" applyNumberFormat="1" applyBorder="1" applyAlignment="1">
      <alignment horizontal="left"/>
    </xf>
    <xf numFmtId="14" fontId="7" fillId="0" borderId="20" xfId="1" applyNumberFormat="1" applyBorder="1" applyAlignment="1">
      <alignment horizontal="left"/>
    </xf>
    <xf numFmtId="14" fontId="7" fillId="0" borderId="21" xfId="1" applyNumberFormat="1" applyBorder="1" applyAlignment="1">
      <alignment horizontal="left"/>
    </xf>
    <xf numFmtId="0" fontId="7" fillId="0" borderId="22" xfId="1" applyBorder="1" applyAlignment="1" applyProtection="1">
      <alignment vertical="center"/>
      <protection locked="0"/>
    </xf>
    <xf numFmtId="0" fontId="7" fillId="0" borderId="23" xfId="1" applyBorder="1" applyAlignment="1" applyProtection="1">
      <alignment vertical="center"/>
      <protection locked="0"/>
    </xf>
    <xf numFmtId="0" fontId="7" fillId="0" borderId="24" xfId="1" applyBorder="1" applyAlignment="1" applyProtection="1">
      <alignment vertical="center"/>
      <protection locked="0"/>
    </xf>
    <xf numFmtId="0" fontId="7" fillId="0" borderId="22" xfId="1" applyBorder="1" applyAlignment="1">
      <alignment horizontal="left"/>
    </xf>
    <xf numFmtId="0" fontId="7" fillId="0" borderId="23" xfId="1" applyBorder="1" applyAlignment="1">
      <alignment horizontal="left"/>
    </xf>
    <xf numFmtId="0" fontId="7" fillId="0" borderId="24" xfId="1" applyBorder="1" applyAlignment="1">
      <alignment horizontal="left"/>
    </xf>
    <xf numFmtId="0" fontId="6" fillId="5" borderId="47" xfId="1" applyFont="1" applyFill="1" applyBorder="1" applyAlignment="1">
      <alignment horizontal="center" vertical="center"/>
    </xf>
    <xf numFmtId="0" fontId="6" fillId="5" borderId="48" xfId="1" applyFont="1" applyFill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26" fillId="10" borderId="47" xfId="3" applyFont="1" applyFill="1" applyBorder="1" applyAlignment="1" applyProtection="1">
      <alignment horizontal="center" vertical="center"/>
      <protection locked="0"/>
    </xf>
    <xf numFmtId="0" fontId="26" fillId="10" borderId="49" xfId="3" applyFont="1" applyFill="1" applyBorder="1" applyAlignment="1" applyProtection="1">
      <alignment horizontal="center" vertical="center"/>
      <protection locked="0"/>
    </xf>
    <xf numFmtId="0" fontId="30" fillId="10" borderId="47" xfId="3" applyFont="1" applyFill="1" applyBorder="1" applyAlignment="1" applyProtection="1">
      <alignment horizontal="center" vertical="center"/>
      <protection locked="0"/>
    </xf>
    <xf numFmtId="0" fontId="30" fillId="10" borderId="48" xfId="3" applyFont="1" applyFill="1" applyBorder="1" applyAlignment="1" applyProtection="1">
      <alignment horizontal="center" vertical="center"/>
      <protection locked="0"/>
    </xf>
    <xf numFmtId="0" fontId="30" fillId="10" borderId="49" xfId="3" applyFont="1" applyFill="1" applyBorder="1" applyAlignment="1" applyProtection="1">
      <alignment horizontal="center" vertical="center"/>
      <protection locked="0"/>
    </xf>
    <xf numFmtId="0" fontId="25" fillId="0" borderId="72" xfId="1" applyFont="1" applyBorder="1" applyAlignment="1">
      <alignment horizontal="center"/>
    </xf>
    <xf numFmtId="0" fontId="25" fillId="0" borderId="32" xfId="1" applyFont="1" applyBorder="1" applyAlignment="1">
      <alignment horizontal="center"/>
    </xf>
    <xf numFmtId="167" fontId="26" fillId="11" borderId="42" xfId="3" applyNumberFormat="1" applyFont="1" applyFill="1" applyBorder="1" applyAlignment="1">
      <alignment horizontal="center"/>
    </xf>
    <xf numFmtId="0" fontId="26" fillId="11" borderId="73" xfId="3" applyFont="1" applyFill="1" applyBorder="1" applyAlignment="1">
      <alignment horizontal="center"/>
    </xf>
    <xf numFmtId="0" fontId="26" fillId="11" borderId="74" xfId="3" applyFont="1" applyFill="1" applyBorder="1" applyAlignment="1">
      <alignment horizontal="center"/>
    </xf>
    <xf numFmtId="167" fontId="26" fillId="11" borderId="25" xfId="3" applyNumberFormat="1" applyFont="1" applyFill="1" applyBorder="1" applyAlignment="1">
      <alignment horizontal="center"/>
    </xf>
    <xf numFmtId="0" fontId="26" fillId="11" borderId="29" xfId="3" applyFont="1" applyFill="1" applyBorder="1" applyAlignment="1">
      <alignment horizontal="center"/>
    </xf>
    <xf numFmtId="0" fontId="26" fillId="11" borderId="76" xfId="3" applyFont="1" applyFill="1" applyBorder="1" applyAlignment="1">
      <alignment horizontal="center"/>
    </xf>
    <xf numFmtId="167" fontId="11" fillId="0" borderId="43" xfId="1" applyNumberFormat="1" applyFont="1" applyBorder="1" applyAlignment="1">
      <alignment horizontal="center" vertical="center"/>
    </xf>
    <xf numFmtId="167" fontId="11" fillId="0" borderId="77" xfId="1" applyNumberFormat="1" applyFont="1" applyBorder="1" applyAlignment="1">
      <alignment horizontal="center" vertical="center"/>
    </xf>
    <xf numFmtId="167" fontId="11" fillId="0" borderId="78" xfId="1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6" fillId="0" borderId="47" xfId="0" applyFont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5">
    <cellStyle name="Normal" xfId="0" builtinId="0"/>
    <cellStyle name="Normal 2" xfId="1" xr:uid="{00000000-0005-0000-0000-000001000000}"/>
    <cellStyle name="Normal 2 2" xfId="4" xr:uid="{77525902-C500-4BBA-87A6-5BA1B6248E7A}"/>
    <cellStyle name="Normal_VMLD" xfId="3" xr:uid="{5BAFECEF-F8C0-4857-A5ED-A4C00AAA85F0}"/>
    <cellStyle name="Pourcentage" xfId="2" builtinId="5"/>
  </cellStyles>
  <dxfs count="0"/>
  <tableStyles count="0" defaultTableStyle="TableStyleMedium2" defaultPivotStyle="PivotStyleLight16"/>
  <colors>
    <mruColors>
      <color rgb="FFC3F5FD"/>
      <color rgb="FFFE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15</xdr:row>
          <xdr:rowOff>104775</xdr:rowOff>
        </xdr:from>
        <xdr:to>
          <xdr:col>18</xdr:col>
          <xdr:colOff>619125</xdr:colOff>
          <xdr:row>17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FFFFFF"/>
                  </a:solidFill>
                  <a:latin typeface="Aptos Narrow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13</xdr:row>
          <xdr:rowOff>142875</xdr:rowOff>
        </xdr:from>
        <xdr:to>
          <xdr:col>4</xdr:col>
          <xdr:colOff>714375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00FF00"/>
                  </a:solidFill>
                  <a:latin typeface="Aptos Narrow"/>
                </a:rPr>
                <a:t>NEXT 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247650</xdr:rowOff>
        </xdr:from>
        <xdr:to>
          <xdr:col>8</xdr:col>
          <xdr:colOff>495300</xdr:colOff>
          <xdr:row>11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00FF00"/>
                  </a:solidFill>
                  <a:latin typeface="Aptos Narrow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1019175</xdr:colOff>
          <xdr:row>16</xdr:row>
          <xdr:rowOff>228600</xdr:rowOff>
        </xdr:from>
        <xdr:to>
          <xdr:col>5</xdr:col>
          <xdr:colOff>323850</xdr:colOff>
          <xdr:row>18</xdr:row>
          <xdr:rowOff>266700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00FF00"/>
                  </a:solidFill>
                  <a:latin typeface="Aptos Narrow"/>
                </a:rPr>
                <a:t>NEXT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9</xdr:row>
          <xdr:rowOff>114300</xdr:rowOff>
        </xdr:from>
        <xdr:to>
          <xdr:col>11</xdr:col>
          <xdr:colOff>457200</xdr:colOff>
          <xdr:row>13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FF8080"/>
                  </a:solidFill>
                  <a:latin typeface="Aptos Narrow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28</xdr:row>
      <xdr:rowOff>121548</xdr:rowOff>
    </xdr:from>
    <xdr:to>
      <xdr:col>4</xdr:col>
      <xdr:colOff>733130</xdr:colOff>
      <xdr:row>33</xdr:row>
      <xdr:rowOff>31735</xdr:rowOff>
    </xdr:to>
    <xdr:sp macro="" textlink="">
      <xdr:nvSpPr>
        <xdr:cNvPr id="2" name="Organigramme : Terminateur 1">
          <a:extLst>
            <a:ext uri="{FF2B5EF4-FFF2-40B4-BE49-F238E27FC236}">
              <a16:creationId xmlns:a16="http://schemas.microsoft.com/office/drawing/2014/main" id="{FD53608F-C51F-4CCF-BE52-EF99604F7CBC}"/>
            </a:ext>
          </a:extLst>
        </xdr:cNvPr>
        <xdr:cNvSpPr/>
      </xdr:nvSpPr>
      <xdr:spPr>
        <a:xfrm>
          <a:off x="38100" y="5512698"/>
          <a:ext cx="3971630" cy="881737"/>
        </a:xfrm>
        <a:prstGeom prst="flowChartTerminato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 kern="1200">
              <a:solidFill>
                <a:schemeClr val="tx1"/>
              </a:solidFill>
              <a:latin typeface="+mn-lt"/>
              <a:ea typeface="+mn-ea"/>
              <a:cs typeface="+mn-cs"/>
            </a:rPr>
            <a:t>C4</a:t>
          </a:r>
        </a:p>
      </xdr:txBody>
    </xdr:sp>
    <xdr:clientData/>
  </xdr:twoCellAnchor>
  <xdr:twoCellAnchor>
    <xdr:from>
      <xdr:col>0</xdr:col>
      <xdr:colOff>54741</xdr:colOff>
      <xdr:row>4</xdr:row>
      <xdr:rowOff>175172</xdr:rowOff>
    </xdr:from>
    <xdr:to>
      <xdr:col>4</xdr:col>
      <xdr:colOff>718411</xdr:colOff>
      <xdr:row>9</xdr:row>
      <xdr:rowOff>87586</xdr:rowOff>
    </xdr:to>
    <xdr:sp macro="" textlink="">
      <xdr:nvSpPr>
        <xdr:cNvPr id="3" name="Organigramme : Terminateur 2">
          <a:extLst>
            <a:ext uri="{FF2B5EF4-FFF2-40B4-BE49-F238E27FC236}">
              <a16:creationId xmlns:a16="http://schemas.microsoft.com/office/drawing/2014/main" id="{5F028062-F9F4-48D8-8F1D-B5F3B23DFECC}"/>
            </a:ext>
          </a:extLst>
        </xdr:cNvPr>
        <xdr:cNvSpPr/>
      </xdr:nvSpPr>
      <xdr:spPr>
        <a:xfrm>
          <a:off x="54741" y="950087"/>
          <a:ext cx="3698755" cy="897202"/>
        </a:xfrm>
        <a:prstGeom prst="flowChartTerminator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 kern="1200">
              <a:solidFill>
                <a:schemeClr val="tx1"/>
              </a:solidFill>
            </a:rPr>
            <a:t>C1</a:t>
          </a:r>
        </a:p>
      </xdr:txBody>
    </xdr:sp>
    <xdr:clientData/>
  </xdr:twoCellAnchor>
  <xdr:twoCellAnchor>
    <xdr:from>
      <xdr:col>0</xdr:col>
      <xdr:colOff>75216</xdr:colOff>
      <xdr:row>12</xdr:row>
      <xdr:rowOff>175172</xdr:rowOff>
    </xdr:from>
    <xdr:to>
      <xdr:col>4</xdr:col>
      <xdr:colOff>744080</xdr:colOff>
      <xdr:row>17</xdr:row>
      <xdr:rowOff>87585</xdr:rowOff>
    </xdr:to>
    <xdr:sp macro="" textlink="">
      <xdr:nvSpPr>
        <xdr:cNvPr id="4" name="Organigramme : Terminateur 3">
          <a:extLst>
            <a:ext uri="{FF2B5EF4-FFF2-40B4-BE49-F238E27FC236}">
              <a16:creationId xmlns:a16="http://schemas.microsoft.com/office/drawing/2014/main" id="{C12436A5-54B7-4E23-808A-D33682A77E9D}"/>
            </a:ext>
          </a:extLst>
        </xdr:cNvPr>
        <xdr:cNvSpPr/>
      </xdr:nvSpPr>
      <xdr:spPr>
        <a:xfrm>
          <a:off x="75216" y="2480222"/>
          <a:ext cx="3945464" cy="883963"/>
        </a:xfrm>
        <a:prstGeom prst="flowChartTerminator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 kern="1200">
              <a:solidFill>
                <a:schemeClr val="tx1"/>
              </a:solidFill>
              <a:latin typeface="+mn-lt"/>
              <a:ea typeface="+mn-ea"/>
              <a:cs typeface="+mn-cs"/>
            </a:rPr>
            <a:t>C2</a:t>
          </a:r>
        </a:p>
      </xdr:txBody>
    </xdr:sp>
    <xdr:clientData/>
  </xdr:twoCellAnchor>
  <xdr:twoCellAnchor>
    <xdr:from>
      <xdr:col>0</xdr:col>
      <xdr:colOff>60494</xdr:colOff>
      <xdr:row>20</xdr:row>
      <xdr:rowOff>178328</xdr:rowOff>
    </xdr:from>
    <xdr:to>
      <xdr:col>4</xdr:col>
      <xdr:colOff>726483</xdr:colOff>
      <xdr:row>25</xdr:row>
      <xdr:rowOff>88514</xdr:rowOff>
    </xdr:to>
    <xdr:sp macro="" textlink="">
      <xdr:nvSpPr>
        <xdr:cNvPr id="5" name="Organigramme : Terminateur 4">
          <a:extLst>
            <a:ext uri="{FF2B5EF4-FFF2-40B4-BE49-F238E27FC236}">
              <a16:creationId xmlns:a16="http://schemas.microsoft.com/office/drawing/2014/main" id="{5DE78575-339F-48A5-A711-82B574E021E5}"/>
            </a:ext>
          </a:extLst>
        </xdr:cNvPr>
        <xdr:cNvSpPr/>
      </xdr:nvSpPr>
      <xdr:spPr>
        <a:xfrm>
          <a:off x="60494" y="4085192"/>
          <a:ext cx="3701074" cy="894975"/>
        </a:xfrm>
        <a:prstGeom prst="flowChartTerminator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 kern="1200">
              <a:solidFill>
                <a:schemeClr val="tx1"/>
              </a:solidFill>
              <a:latin typeface="+mn-lt"/>
              <a:ea typeface="+mn-ea"/>
              <a:cs typeface="+mn-cs"/>
            </a:rPr>
            <a:t>C3</a:t>
          </a:r>
        </a:p>
      </xdr:txBody>
    </xdr:sp>
    <xdr:clientData/>
  </xdr:twoCellAnchor>
  <xdr:twoCellAnchor>
    <xdr:from>
      <xdr:col>0</xdr:col>
      <xdr:colOff>120430</xdr:colOff>
      <xdr:row>37</xdr:row>
      <xdr:rowOff>120432</xdr:rowOff>
    </xdr:from>
    <xdr:to>
      <xdr:col>4</xdr:col>
      <xdr:colOff>742627</xdr:colOff>
      <xdr:row>42</xdr:row>
      <xdr:rowOff>32845</xdr:rowOff>
    </xdr:to>
    <xdr:sp macro="" textlink="">
      <xdr:nvSpPr>
        <xdr:cNvPr id="6" name="Organigramme : Terminateur 5">
          <a:extLst>
            <a:ext uri="{FF2B5EF4-FFF2-40B4-BE49-F238E27FC236}">
              <a16:creationId xmlns:a16="http://schemas.microsoft.com/office/drawing/2014/main" id="{4DE8ECE0-7085-4181-A108-A40901D496E1}"/>
            </a:ext>
          </a:extLst>
        </xdr:cNvPr>
        <xdr:cNvSpPr/>
      </xdr:nvSpPr>
      <xdr:spPr>
        <a:xfrm>
          <a:off x="120430" y="7352974"/>
          <a:ext cx="3657282" cy="897202"/>
        </a:xfrm>
        <a:prstGeom prst="flowChartTerminato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 kern="1200">
              <a:solidFill>
                <a:schemeClr val="tx1"/>
              </a:solidFill>
              <a:latin typeface="+mn-lt"/>
              <a:ea typeface="+mn-ea"/>
              <a:cs typeface="+mn-cs"/>
            </a:rPr>
            <a:t>C5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63500</xdr:rowOff>
    </xdr:from>
    <xdr:to>
      <xdr:col>12</xdr:col>
      <xdr:colOff>38100</xdr:colOff>
      <xdr:row>3</xdr:row>
      <xdr:rowOff>76200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B03E207C-9E5C-4728-B3A2-7F5C55C70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63500"/>
          <a:ext cx="679450" cy="488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31750</xdr:colOff>
      <xdr:row>0</xdr:row>
      <xdr:rowOff>0</xdr:rowOff>
    </xdr:from>
    <xdr:to>
      <xdr:col>0</xdr:col>
      <xdr:colOff>1333500</xdr:colOff>
      <xdr:row>2</xdr:row>
      <xdr:rowOff>152400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712CD3E9-DF9C-4D7C-BB9C-75AD6C396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0"/>
          <a:ext cx="1301750" cy="469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486155</xdr:colOff>
      <xdr:row>37</xdr:row>
      <xdr:rowOff>214884</xdr:rowOff>
    </xdr:from>
    <xdr:ext cx="314325" cy="0"/>
    <xdr:sp macro="" textlink="">
      <xdr:nvSpPr>
        <xdr:cNvPr id="2" name="Shape 10">
          <a:extLst>
            <a:ext uri="{FF2B5EF4-FFF2-40B4-BE49-F238E27FC236}">
              <a16:creationId xmlns:a16="http://schemas.microsoft.com/office/drawing/2014/main" id="{EF748AE9-D91F-4DF4-B32C-BB47F457FAF0}"/>
            </a:ext>
          </a:extLst>
        </xdr:cNvPr>
        <xdr:cNvSpPr/>
      </xdr:nvSpPr>
      <xdr:spPr>
        <a:xfrm>
          <a:off x="7147305" y="9523984"/>
          <a:ext cx="314325" cy="0"/>
        </a:xfrm>
        <a:custGeom>
          <a:avLst/>
          <a:gdLst/>
          <a:ahLst/>
          <a:cxnLst/>
          <a:rect l="0" t="0" r="0" b="0"/>
          <a:pathLst>
            <a:path w="314325">
              <a:moveTo>
                <a:pt x="0" y="0"/>
              </a:moveTo>
              <a:lnTo>
                <a:pt x="313944" y="0"/>
              </a:lnTo>
            </a:path>
          </a:pathLst>
        </a:custGeom>
        <a:ln w="12192">
          <a:solidFill>
            <a:srgbClr val="646464"/>
          </a:solidFill>
        </a:ln>
      </xdr:spPr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2:F12"/>
  <sheetViews>
    <sheetView tabSelected="1" workbookViewId="0">
      <selection activeCell="C3" sqref="C3:F4"/>
    </sheetView>
  </sheetViews>
  <sheetFormatPr baseColWidth="10" defaultColWidth="10.85546875" defaultRowHeight="15"/>
  <cols>
    <col min="1" max="1" width="10.85546875" style="45"/>
    <col min="2" max="2" width="15.140625" style="45" bestFit="1" customWidth="1"/>
    <col min="3" max="5" width="10.85546875" style="45"/>
    <col min="6" max="6" width="12.42578125" style="45" customWidth="1"/>
    <col min="7" max="16384" width="10.85546875" style="45"/>
  </cols>
  <sheetData>
    <row r="2" spans="3:6" ht="15.75" thickBot="1"/>
    <row r="3" spans="3:6">
      <c r="C3" s="202">
        <v>46190</v>
      </c>
      <c r="D3" s="203"/>
      <c r="E3" s="203"/>
      <c r="F3" s="204"/>
    </row>
    <row r="4" spans="3:6" ht="15.75" thickBot="1">
      <c r="C4" s="205"/>
      <c r="D4" s="206"/>
      <c r="E4" s="206"/>
      <c r="F4" s="207"/>
    </row>
    <row r="6" spans="3:6" ht="15.75" thickBot="1"/>
    <row r="7" spans="3:6">
      <c r="C7" s="41"/>
      <c r="D7" s="42" t="s">
        <v>0</v>
      </c>
      <c r="E7" s="43" t="s">
        <v>64</v>
      </c>
      <c r="F7" s="43" t="s">
        <v>113</v>
      </c>
    </row>
    <row r="8" spans="3:6">
      <c r="C8" s="44" t="s">
        <v>65</v>
      </c>
      <c r="D8" s="63">
        <v>1929</v>
      </c>
      <c r="E8" s="64">
        <v>27</v>
      </c>
      <c r="F8" s="65">
        <v>2.4</v>
      </c>
    </row>
    <row r="9" spans="3:6">
      <c r="C9" s="44" t="s">
        <v>66</v>
      </c>
      <c r="D9" s="63">
        <v>1918</v>
      </c>
      <c r="E9" s="64">
        <v>28</v>
      </c>
      <c r="F9" s="65">
        <v>2.5</v>
      </c>
    </row>
    <row r="10" spans="3:6">
      <c r="C10" s="44" t="s">
        <v>67</v>
      </c>
      <c r="D10" s="63">
        <v>1911</v>
      </c>
      <c r="E10" s="64">
        <v>26.5</v>
      </c>
      <c r="F10" s="65">
        <v>2.5</v>
      </c>
    </row>
    <row r="11" spans="3:6">
      <c r="C11" s="44" t="s">
        <v>68</v>
      </c>
      <c r="D11" s="63">
        <v>1916</v>
      </c>
      <c r="E11" s="64">
        <v>27.5</v>
      </c>
      <c r="F11" s="65">
        <v>2.4</v>
      </c>
    </row>
    <row r="12" spans="3:6">
      <c r="C12" s="44" t="s">
        <v>69</v>
      </c>
      <c r="D12" s="65"/>
      <c r="E12" s="65"/>
      <c r="F12" s="65"/>
    </row>
  </sheetData>
  <protectedRanges>
    <protectedRange sqref="D8:F12" name="Plage1"/>
  </protectedRanges>
  <mergeCells count="1">
    <mergeCell ref="C3:F4"/>
  </mergeCells>
  <phoneticPr fontId="3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17</xdr:col>
                    <xdr:colOff>257175</xdr:colOff>
                    <xdr:row>15</xdr:row>
                    <xdr:rowOff>104775</xdr:rowOff>
                  </from>
                  <to>
                    <xdr:col>18</xdr:col>
                    <xdr:colOff>619125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auge_Bouton2_Cliquer">
                <anchor moveWithCells="1" sizeWithCells="1">
                  <from>
                    <xdr:col>3</xdr:col>
                    <xdr:colOff>219075</xdr:colOff>
                    <xdr:row>13</xdr:row>
                    <xdr:rowOff>142875</xdr:rowOff>
                  </from>
                  <to>
                    <xdr:col>4</xdr:col>
                    <xdr:colOff>714375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T8"/>
  <sheetViews>
    <sheetView workbookViewId="0">
      <selection activeCell="U8" sqref="U8"/>
    </sheetView>
  </sheetViews>
  <sheetFormatPr baseColWidth="10" defaultColWidth="10.85546875" defaultRowHeight="15"/>
  <cols>
    <col min="1" max="2" width="10.85546875" style="45"/>
    <col min="3" max="6" width="6.7109375" style="45" customWidth="1"/>
    <col min="7" max="7" width="6.7109375" style="45" hidden="1" customWidth="1"/>
    <col min="8" max="15" width="6.7109375" style="45" customWidth="1"/>
    <col min="16" max="16" width="6.7109375" style="45" hidden="1" customWidth="1"/>
    <col min="17" max="20" width="6.7109375" style="45" customWidth="1"/>
    <col min="21" max="16384" width="10.85546875" style="45"/>
  </cols>
  <sheetData>
    <row r="1" spans="1:20" ht="15.75" thickBot="1"/>
    <row r="2" spans="1:20">
      <c r="G2" s="215">
        <f>+Jauge!C3</f>
        <v>46190</v>
      </c>
      <c r="H2" s="216"/>
      <c r="I2" s="216"/>
      <c r="J2" s="217"/>
    </row>
    <row r="3" spans="1:20" ht="15.75" thickBot="1">
      <c r="G3" s="218"/>
      <c r="H3" s="219"/>
      <c r="I3" s="219"/>
      <c r="J3" s="220"/>
    </row>
    <row r="4" spans="1:20" ht="15.75" thickBot="1"/>
    <row r="5" spans="1:20" ht="27.95" customHeight="1">
      <c r="A5" s="221" t="s">
        <v>1</v>
      </c>
      <c r="B5" s="222"/>
      <c r="C5" s="223" t="s">
        <v>2</v>
      </c>
      <c r="D5" s="224"/>
      <c r="E5" s="225"/>
      <c r="F5" s="208" t="s">
        <v>3</v>
      </c>
      <c r="G5" s="209"/>
      <c r="H5" s="210"/>
      <c r="I5" s="223" t="s">
        <v>4</v>
      </c>
      <c r="J5" s="224"/>
      <c r="K5" s="225"/>
      <c r="L5" s="208" t="s">
        <v>5</v>
      </c>
      <c r="M5" s="209"/>
      <c r="N5" s="210"/>
      <c r="O5" s="223" t="s">
        <v>6</v>
      </c>
      <c r="P5" s="224"/>
      <c r="Q5" s="225"/>
      <c r="R5" s="208" t="s">
        <v>7</v>
      </c>
      <c r="S5" s="209"/>
      <c r="T5" s="210"/>
    </row>
    <row r="6" spans="1:20" ht="27.95" customHeight="1">
      <c r="A6" s="211" t="s">
        <v>8</v>
      </c>
      <c r="B6" s="212"/>
      <c r="C6" s="87" t="s">
        <v>9</v>
      </c>
      <c r="D6" s="1" t="s">
        <v>10</v>
      </c>
      <c r="E6" s="80" t="s">
        <v>11</v>
      </c>
      <c r="F6" s="84" t="s">
        <v>9</v>
      </c>
      <c r="G6" s="2" t="s">
        <v>10</v>
      </c>
      <c r="H6" s="83" t="s">
        <v>11</v>
      </c>
      <c r="I6" s="87" t="s">
        <v>9</v>
      </c>
      <c r="J6" s="1" t="s">
        <v>10</v>
      </c>
      <c r="K6" s="80" t="s">
        <v>11</v>
      </c>
      <c r="L6" s="84" t="s">
        <v>9</v>
      </c>
      <c r="M6" s="2" t="s">
        <v>10</v>
      </c>
      <c r="N6" s="83" t="s">
        <v>11</v>
      </c>
      <c r="O6" s="87" t="s">
        <v>9</v>
      </c>
      <c r="P6" s="1" t="s">
        <v>10</v>
      </c>
      <c r="Q6" s="80" t="s">
        <v>11</v>
      </c>
      <c r="R6" s="84" t="s">
        <v>9</v>
      </c>
      <c r="S6" s="2" t="s">
        <v>10</v>
      </c>
      <c r="T6" s="83" t="s">
        <v>11</v>
      </c>
    </row>
    <row r="7" spans="1:20" ht="27.95" customHeight="1" thickBot="1">
      <c r="A7" s="211" t="s">
        <v>12</v>
      </c>
      <c r="B7" s="212"/>
      <c r="C7" s="86">
        <v>118</v>
      </c>
      <c r="D7" s="67">
        <v>128</v>
      </c>
      <c r="E7" s="82">
        <v>807</v>
      </c>
      <c r="F7" s="86">
        <v>22</v>
      </c>
      <c r="G7" s="89"/>
      <c r="H7" s="82">
        <v>441</v>
      </c>
      <c r="I7" s="86">
        <v>8</v>
      </c>
      <c r="J7" s="66">
        <v>124</v>
      </c>
      <c r="K7" s="96">
        <v>897</v>
      </c>
      <c r="L7" s="85">
        <v>52</v>
      </c>
      <c r="M7" s="66">
        <v>179</v>
      </c>
      <c r="N7" s="81">
        <v>0</v>
      </c>
      <c r="O7" s="85">
        <v>11</v>
      </c>
      <c r="P7" s="88"/>
      <c r="Q7" s="81">
        <v>401</v>
      </c>
      <c r="R7" s="85">
        <v>18</v>
      </c>
      <c r="S7" s="66">
        <v>0</v>
      </c>
      <c r="T7" s="81">
        <v>0</v>
      </c>
    </row>
    <row r="8" spans="1:20" ht="27.95" customHeight="1" thickBot="1">
      <c r="A8" s="213" t="s">
        <v>13</v>
      </c>
      <c r="B8" s="214"/>
      <c r="C8" s="86">
        <v>0</v>
      </c>
      <c r="D8" s="67">
        <v>0</v>
      </c>
      <c r="E8" s="82">
        <v>0</v>
      </c>
      <c r="F8" s="86">
        <v>2</v>
      </c>
      <c r="G8" s="89"/>
      <c r="H8" s="82">
        <v>0</v>
      </c>
      <c r="I8" s="86">
        <v>0</v>
      </c>
      <c r="J8" s="67">
        <v>0</v>
      </c>
      <c r="K8" s="82">
        <v>0</v>
      </c>
      <c r="L8" s="86">
        <v>0</v>
      </c>
      <c r="M8" s="67">
        <v>0</v>
      </c>
      <c r="N8" s="82">
        <v>0</v>
      </c>
      <c r="O8" s="86">
        <v>0</v>
      </c>
      <c r="P8" s="89"/>
      <c r="Q8" s="82">
        <v>0</v>
      </c>
      <c r="R8" s="86">
        <v>0</v>
      </c>
      <c r="S8" s="67">
        <v>0</v>
      </c>
      <c r="T8" s="82">
        <v>0</v>
      </c>
    </row>
  </sheetData>
  <mergeCells count="11">
    <mergeCell ref="R5:T5"/>
    <mergeCell ref="A6:B6"/>
    <mergeCell ref="A7:B7"/>
    <mergeCell ref="A8:B8"/>
    <mergeCell ref="G2:J3"/>
    <mergeCell ref="A5:B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ock_Bouton1_Cliquer">
                <anchor moveWithCells="1" sizeWithCells="1">
                  <from>
                    <xdr:col>6</xdr:col>
                    <xdr:colOff>628650</xdr:colOff>
                    <xdr:row>9</xdr:row>
                    <xdr:rowOff>247650</xdr:rowOff>
                  </from>
                  <to>
                    <xdr:col>8</xdr:col>
                    <xdr:colOff>495300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C1:I15"/>
  <sheetViews>
    <sheetView workbookViewId="0">
      <selection activeCell="G14" sqref="G14"/>
    </sheetView>
  </sheetViews>
  <sheetFormatPr baseColWidth="10" defaultColWidth="10.85546875" defaultRowHeight="15"/>
  <cols>
    <col min="1" max="2" width="10.85546875" style="45"/>
    <col min="3" max="3" width="23.28515625" style="45" bestFit="1" customWidth="1"/>
    <col min="4" max="16384" width="10.85546875" style="45"/>
  </cols>
  <sheetData>
    <row r="1" spans="3:9" ht="15.75" thickBot="1"/>
    <row r="2" spans="3:9">
      <c r="D2" s="215">
        <f>+Jauge!C3</f>
        <v>46190</v>
      </c>
      <c r="E2" s="216"/>
      <c r="F2" s="216"/>
      <c r="G2" s="217"/>
    </row>
    <row r="3" spans="3:9" ht="15.75" thickBot="1">
      <c r="D3" s="218"/>
      <c r="E3" s="219"/>
      <c r="F3" s="219"/>
      <c r="G3" s="220"/>
    </row>
    <row r="4" spans="3:9" ht="15.75" thickBot="1"/>
    <row r="5" spans="3:9">
      <c r="C5" s="226" t="s">
        <v>14</v>
      </c>
      <c r="D5" s="3" t="s">
        <v>15</v>
      </c>
      <c r="E5" s="95" t="s">
        <v>16</v>
      </c>
      <c r="F5" s="3" t="s">
        <v>17</v>
      </c>
      <c r="G5" s="3" t="s">
        <v>18</v>
      </c>
      <c r="H5" s="6" t="s">
        <v>19</v>
      </c>
      <c r="I5" s="4" t="s">
        <v>20</v>
      </c>
    </row>
    <row r="6" spans="3:9" ht="15.75" thickBot="1">
      <c r="C6" s="227"/>
      <c r="D6" s="5"/>
      <c r="E6" s="94">
        <v>59200</v>
      </c>
      <c r="F6" s="68"/>
      <c r="G6" s="5"/>
      <c r="H6" s="7">
        <f>SUM(D6:G6)</f>
        <v>59200</v>
      </c>
      <c r="I6" s="201">
        <v>160</v>
      </c>
    </row>
    <row r="7" spans="3:9" ht="15.75" thickBot="1"/>
    <row r="8" spans="3:9" ht="15.75" thickBot="1">
      <c r="D8" s="232" t="s">
        <v>114</v>
      </c>
      <c r="E8" s="233"/>
      <c r="F8" s="233"/>
      <c r="G8" s="233"/>
      <c r="H8" s="234"/>
    </row>
    <row r="9" spans="3:9">
      <c r="C9" s="228" t="s">
        <v>21</v>
      </c>
      <c r="D9" s="230" t="s">
        <v>22</v>
      </c>
      <c r="E9" s="230"/>
      <c r="F9" s="230"/>
      <c r="G9" s="230"/>
      <c r="H9" s="231"/>
    </row>
    <row r="10" spans="3:9">
      <c r="C10" s="229"/>
      <c r="D10" s="8" t="s">
        <v>116</v>
      </c>
      <c r="E10" s="8" t="s">
        <v>117</v>
      </c>
      <c r="F10" s="8" t="s">
        <v>118</v>
      </c>
      <c r="G10" s="8" t="s">
        <v>23</v>
      </c>
      <c r="H10" s="9" t="s">
        <v>24</v>
      </c>
    </row>
    <row r="11" spans="3:9">
      <c r="C11" s="10" t="s">
        <v>115</v>
      </c>
      <c r="D11" s="69">
        <f>1139+899</f>
        <v>2038</v>
      </c>
      <c r="E11" s="69">
        <f>346+159</f>
        <v>505</v>
      </c>
      <c r="F11" s="69">
        <f>47+30</f>
        <v>77</v>
      </c>
      <c r="G11" s="90"/>
      <c r="H11" s="91">
        <f>+D11*12+E11*3+F11*6+G11*34</f>
        <v>26433</v>
      </c>
    </row>
    <row r="12" spans="3:9">
      <c r="C12" s="10" t="s">
        <v>2</v>
      </c>
      <c r="D12" s="69">
        <v>1221</v>
      </c>
      <c r="E12" s="69">
        <v>324</v>
      </c>
      <c r="F12" s="69">
        <v>242</v>
      </c>
      <c r="G12" s="90"/>
      <c r="H12" s="91">
        <f>+D12*12+E12*3+F12*6+G12*34</f>
        <v>17076</v>
      </c>
    </row>
    <row r="13" spans="3:9">
      <c r="C13" s="10" t="s">
        <v>25</v>
      </c>
      <c r="D13" s="90">
        <v>830</v>
      </c>
      <c r="E13" s="90">
        <v>0</v>
      </c>
      <c r="F13" s="90">
        <v>0</v>
      </c>
      <c r="G13" s="90"/>
      <c r="H13" s="91">
        <f>+D13*12+E13*3+F13*6+G13*34</f>
        <v>9960</v>
      </c>
    </row>
    <row r="14" spans="3:9">
      <c r="C14" s="10" t="s">
        <v>3</v>
      </c>
      <c r="D14" s="90">
        <v>610</v>
      </c>
      <c r="E14" s="90">
        <v>420</v>
      </c>
      <c r="F14" s="90">
        <v>0</v>
      </c>
      <c r="G14" s="90"/>
      <c r="H14" s="91">
        <f>+D14*12+E14*3+F14*6+G14*34</f>
        <v>8580</v>
      </c>
    </row>
    <row r="15" spans="3:9" ht="15.75" thickBot="1">
      <c r="C15" s="11" t="s">
        <v>7</v>
      </c>
      <c r="D15" s="92"/>
      <c r="E15" s="92"/>
      <c r="F15" s="92"/>
      <c r="G15" s="92"/>
      <c r="H15" s="93">
        <f>+D15*12+E15*3+F15*6+G15*34</f>
        <v>0</v>
      </c>
    </row>
  </sheetData>
  <mergeCells count="5">
    <mergeCell ref="C5:C6"/>
    <mergeCell ref="D2:G3"/>
    <mergeCell ref="C9:C10"/>
    <mergeCell ref="D9:H9"/>
    <mergeCell ref="D8:H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uton2_Cliquer">
                <anchor moveWithCells="1" sizeWithCells="1">
                  <from>
                    <xdr:col>3</xdr:col>
                    <xdr:colOff>1019175</xdr:colOff>
                    <xdr:row>16</xdr:row>
                    <xdr:rowOff>228600</xdr:rowOff>
                  </from>
                  <to>
                    <xdr:col>5</xdr:col>
                    <xdr:colOff>323850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outon3_Cliquer">
                <anchor moveWithCells="1" sizeWithCells="1">
                  <from>
                    <xdr:col>9</xdr:col>
                    <xdr:colOff>676275</xdr:colOff>
                    <xdr:row>9</xdr:row>
                    <xdr:rowOff>114300</xdr:rowOff>
                  </from>
                  <to>
                    <xdr:col>11</xdr:col>
                    <xdr:colOff>457200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0070C0"/>
  </sheetPr>
  <dimension ref="B1:L42"/>
  <sheetViews>
    <sheetView view="pageLayout" zoomScaleNormal="118" workbookViewId="0">
      <selection activeCell="I9" sqref="I9"/>
    </sheetView>
  </sheetViews>
  <sheetFormatPr baseColWidth="10" defaultRowHeight="15"/>
  <cols>
    <col min="8" max="8" width="10.85546875" style="74"/>
  </cols>
  <sheetData>
    <row r="1" spans="2:12">
      <c r="B1" s="235" t="s">
        <v>112</v>
      </c>
      <c r="C1" s="235"/>
      <c r="D1" s="235"/>
      <c r="E1" s="235"/>
      <c r="F1" s="236">
        <f>+Jauge!C3+1</f>
        <v>46191</v>
      </c>
      <c r="G1" s="235"/>
    </row>
    <row r="2" spans="2:12">
      <c r="B2" s="235"/>
      <c r="C2" s="235"/>
      <c r="D2" s="235"/>
      <c r="E2" s="235"/>
      <c r="F2" s="235"/>
      <c r="G2" s="235"/>
    </row>
    <row r="5" spans="2:12" ht="15.75" thickBot="1"/>
    <row r="6" spans="2:12">
      <c r="F6" s="70" t="s">
        <v>108</v>
      </c>
      <c r="G6" s="75">
        <f>+Jauge!D8</f>
        <v>1929</v>
      </c>
    </row>
    <row r="7" spans="2:12">
      <c r="F7" s="71" t="s">
        <v>109</v>
      </c>
      <c r="G7" s="76">
        <f>+Jauge!E8</f>
        <v>27</v>
      </c>
    </row>
    <row r="8" spans="2:12">
      <c r="F8" s="71" t="s">
        <v>110</v>
      </c>
      <c r="G8" s="77">
        <f>+Jauge!F8</f>
        <v>2.4</v>
      </c>
    </row>
    <row r="9" spans="2:12" ht="15.75" thickBot="1">
      <c r="F9" s="72" t="s">
        <v>111</v>
      </c>
      <c r="G9" s="78">
        <f>+Vrac1!AG8</f>
        <v>57989.616594334555</v>
      </c>
    </row>
    <row r="10" spans="2:12">
      <c r="G10" s="74"/>
    </row>
    <row r="11" spans="2:12">
      <c r="G11" s="74"/>
    </row>
    <row r="12" spans="2:12">
      <c r="G12" s="74"/>
      <c r="L12" s="73"/>
    </row>
    <row r="13" spans="2:12" ht="15.75" thickBot="1">
      <c r="G13" s="74"/>
      <c r="L13" s="73"/>
    </row>
    <row r="14" spans="2:12">
      <c r="F14" s="70" t="s">
        <v>108</v>
      </c>
      <c r="G14" s="75">
        <f>+Jauge!D9</f>
        <v>1918</v>
      </c>
      <c r="L14" s="73"/>
    </row>
    <row r="15" spans="2:12">
      <c r="F15" s="71" t="s">
        <v>109</v>
      </c>
      <c r="G15" s="76">
        <f>+Jauge!E9</f>
        <v>28</v>
      </c>
      <c r="L15" s="73"/>
    </row>
    <row r="16" spans="2:12">
      <c r="F16" s="71" t="s">
        <v>110</v>
      </c>
      <c r="G16" s="76">
        <f>+Jauge!F9</f>
        <v>2.5</v>
      </c>
      <c r="L16" s="73"/>
    </row>
    <row r="17" spans="6:12" ht="15.75" thickBot="1">
      <c r="F17" s="72" t="s">
        <v>111</v>
      </c>
      <c r="G17" s="78">
        <f>+Vrac1!AH8</f>
        <v>57515.437076486654</v>
      </c>
      <c r="L17" s="73"/>
    </row>
    <row r="18" spans="6:12">
      <c r="G18" s="74"/>
      <c r="L18" s="73"/>
    </row>
    <row r="19" spans="6:12">
      <c r="G19" s="74"/>
      <c r="L19" s="73"/>
    </row>
    <row r="20" spans="6:12">
      <c r="G20" s="74"/>
      <c r="L20" s="73"/>
    </row>
    <row r="21" spans="6:12" ht="15.75" thickBot="1">
      <c r="G21" s="74"/>
      <c r="L21" s="73"/>
    </row>
    <row r="22" spans="6:12">
      <c r="F22" s="70" t="s">
        <v>108</v>
      </c>
      <c r="G22" s="75">
        <f>+Jauge!D10</f>
        <v>1911</v>
      </c>
    </row>
    <row r="23" spans="6:12">
      <c r="F23" s="71" t="s">
        <v>109</v>
      </c>
      <c r="G23" s="76">
        <f>+Jauge!E10</f>
        <v>26.5</v>
      </c>
    </row>
    <row r="24" spans="6:12">
      <c r="F24" s="71" t="s">
        <v>110</v>
      </c>
      <c r="G24" s="77">
        <f>+Jauge!F10</f>
        <v>2.5</v>
      </c>
    </row>
    <row r="25" spans="6:12" ht="15.75" thickBot="1">
      <c r="F25" s="72" t="s">
        <v>111</v>
      </c>
      <c r="G25" s="78">
        <f>+Vrac1!AI8</f>
        <v>57444.008678008388</v>
      </c>
    </row>
    <row r="26" spans="6:12">
      <c r="G26" s="74"/>
    </row>
    <row r="27" spans="6:12">
      <c r="G27" s="74"/>
    </row>
    <row r="28" spans="6:12">
      <c r="G28" s="74"/>
    </row>
    <row r="29" spans="6:12" ht="15.75" thickBot="1">
      <c r="G29" s="74"/>
    </row>
    <row r="30" spans="6:12">
      <c r="F30" s="70" t="s">
        <v>108</v>
      </c>
      <c r="G30" s="75">
        <f>+Jauge!D11</f>
        <v>1916</v>
      </c>
    </row>
    <row r="31" spans="6:12">
      <c r="F31" s="71" t="s">
        <v>109</v>
      </c>
      <c r="G31" s="76">
        <f>+Jauge!E11</f>
        <v>27.5</v>
      </c>
    </row>
    <row r="32" spans="6:12">
      <c r="F32" s="71" t="s">
        <v>110</v>
      </c>
      <c r="G32" s="77">
        <f>+Jauge!F11</f>
        <v>2.4</v>
      </c>
    </row>
    <row r="33" spans="6:7" ht="15.75" thickBot="1">
      <c r="F33" s="72" t="s">
        <v>111</v>
      </c>
      <c r="G33" s="78">
        <f>+Vrac1!AJ8</f>
        <v>57489.907908670124</v>
      </c>
    </row>
    <row r="34" spans="6:7">
      <c r="G34" s="74"/>
    </row>
    <row r="35" spans="6:7">
      <c r="G35" s="74"/>
    </row>
    <row r="36" spans="6:7">
      <c r="G36" s="74"/>
    </row>
    <row r="37" spans="6:7">
      <c r="G37" s="74"/>
    </row>
    <row r="38" spans="6:7" ht="15.75" thickBot="1">
      <c r="G38" s="74"/>
    </row>
    <row r="39" spans="6:7">
      <c r="F39" s="70" t="s">
        <v>108</v>
      </c>
      <c r="G39" s="79">
        <f>+Jauge!D12</f>
        <v>0</v>
      </c>
    </row>
    <row r="40" spans="6:7">
      <c r="F40" s="71" t="s">
        <v>109</v>
      </c>
      <c r="G40" s="77">
        <f>+Jauge!E12</f>
        <v>0</v>
      </c>
    </row>
    <row r="41" spans="6:7">
      <c r="F41" s="71" t="s">
        <v>110</v>
      </c>
      <c r="G41" s="77">
        <f>+Jauge!F12</f>
        <v>0</v>
      </c>
    </row>
    <row r="42" spans="6:7" ht="15.75" thickBot="1">
      <c r="F42" s="72" t="s">
        <v>111</v>
      </c>
      <c r="G42" s="78">
        <f>+Vrac1!AK8</f>
        <v>0.10340249041807256</v>
      </c>
    </row>
  </sheetData>
  <mergeCells count="2">
    <mergeCell ref="B1:E2"/>
    <mergeCell ref="F1:G2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5"/>
  <dimension ref="A1:AZ18"/>
  <sheetViews>
    <sheetView showGridLines="0" topLeftCell="X3" zoomScaleNormal="75" workbookViewId="0">
      <selection activeCell="AJ8" sqref="AJ8"/>
    </sheetView>
  </sheetViews>
  <sheetFormatPr baseColWidth="10" defaultColWidth="8.42578125" defaultRowHeight="12.75"/>
  <cols>
    <col min="1" max="1" width="1.140625" style="46" customWidth="1"/>
    <col min="2" max="5" width="7.85546875" style="46" customWidth="1"/>
    <col min="6" max="6" width="5.42578125" style="46" customWidth="1"/>
    <col min="7" max="10" width="7.85546875" style="46" customWidth="1"/>
    <col min="11" max="11" width="6.42578125" style="46" customWidth="1"/>
    <col min="12" max="30" width="12" style="46" customWidth="1"/>
    <col min="31" max="31" width="8.42578125" style="46" customWidth="1"/>
    <col min="32" max="32" width="7.85546875" style="46" customWidth="1"/>
    <col min="33" max="33" width="8.7109375" style="46" customWidth="1"/>
    <col min="34" max="34" width="8" style="46" customWidth="1"/>
    <col min="35" max="36" width="8.85546875" style="46" customWidth="1"/>
    <col min="37" max="37" width="8.7109375" style="46" customWidth="1"/>
    <col min="38" max="38" width="11.42578125" style="46" customWidth="1"/>
    <col min="39" max="39" width="1.42578125" style="46" customWidth="1"/>
    <col min="40" max="40" width="9.42578125" style="46" customWidth="1"/>
    <col min="41" max="51" width="8.42578125" style="46" customWidth="1"/>
    <col min="52" max="52" width="13.7109375" style="46" customWidth="1"/>
    <col min="53" max="16384" width="8.42578125" style="46"/>
  </cols>
  <sheetData>
    <row r="1" spans="1:52">
      <c r="A1" s="46">
        <v>0</v>
      </c>
      <c r="I1" s="47"/>
      <c r="O1" s="47"/>
    </row>
    <row r="2" spans="1:52"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52" ht="18.75" customHeight="1">
      <c r="B3" s="237"/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  <c r="AJ3" s="237"/>
      <c r="AK3" s="237"/>
      <c r="AL3" s="237"/>
    </row>
    <row r="4" spans="1:52" ht="13.5" customHeight="1"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38"/>
      <c r="AJ4" s="238"/>
      <c r="AK4" s="238"/>
      <c r="AL4" s="238"/>
    </row>
    <row r="5" spans="1:52">
      <c r="E5" s="46" t="s">
        <v>70</v>
      </c>
    </row>
    <row r="6" spans="1:52" ht="13.5" thickBot="1"/>
    <row r="7" spans="1:52" ht="42" customHeight="1" thickBot="1">
      <c r="B7" s="48" t="s">
        <v>71</v>
      </c>
      <c r="C7" s="48" t="s">
        <v>72</v>
      </c>
      <c r="D7" s="48" t="s">
        <v>73</v>
      </c>
      <c r="E7" s="48" t="s">
        <v>74</v>
      </c>
      <c r="F7" s="48" t="s">
        <v>75</v>
      </c>
      <c r="G7" s="48" t="s">
        <v>76</v>
      </c>
      <c r="H7" s="48" t="s">
        <v>77</v>
      </c>
      <c r="I7" s="48" t="s">
        <v>78</v>
      </c>
      <c r="J7" s="48" t="s">
        <v>79</v>
      </c>
      <c r="K7" s="48" t="s">
        <v>80</v>
      </c>
      <c r="L7" s="48" t="s">
        <v>81</v>
      </c>
      <c r="M7" s="48" t="s">
        <v>82</v>
      </c>
      <c r="N7" s="48" t="s">
        <v>83</v>
      </c>
      <c r="O7" s="48" t="s">
        <v>84</v>
      </c>
      <c r="P7" s="48" t="s">
        <v>85</v>
      </c>
      <c r="Q7" s="48" t="s">
        <v>86</v>
      </c>
      <c r="R7" s="48" t="s">
        <v>87</v>
      </c>
      <c r="S7" s="48" t="s">
        <v>88</v>
      </c>
      <c r="T7" s="48" t="s">
        <v>89</v>
      </c>
      <c r="U7" s="48" t="s">
        <v>90</v>
      </c>
      <c r="V7" s="48" t="s">
        <v>91</v>
      </c>
      <c r="W7" s="48" t="s">
        <v>92</v>
      </c>
      <c r="X7" s="48" t="s">
        <v>93</v>
      </c>
      <c r="Y7" s="48" t="s">
        <v>94</v>
      </c>
      <c r="Z7" s="48" t="s">
        <v>95</v>
      </c>
      <c r="AA7" s="48" t="s">
        <v>96</v>
      </c>
      <c r="AB7" s="48" t="s">
        <v>97</v>
      </c>
      <c r="AC7" s="48" t="s">
        <v>98</v>
      </c>
      <c r="AD7" s="48" t="s">
        <v>99</v>
      </c>
      <c r="AE7" s="48" t="s">
        <v>100</v>
      </c>
      <c r="AF7" s="48" t="s">
        <v>101</v>
      </c>
      <c r="AG7" s="49" t="s">
        <v>102</v>
      </c>
      <c r="AH7" s="49" t="s">
        <v>103</v>
      </c>
      <c r="AI7" s="49" t="s">
        <v>104</v>
      </c>
      <c r="AJ7" s="49" t="s">
        <v>105</v>
      </c>
      <c r="AK7" s="49" t="s">
        <v>106</v>
      </c>
      <c r="AL7" s="50" t="s">
        <v>107</v>
      </c>
      <c r="AZ7" s="51"/>
    </row>
    <row r="8" spans="1:52" ht="54" customHeight="1" thickBot="1">
      <c r="B8" s="52">
        <f>+Jauge!D8</f>
        <v>1929</v>
      </c>
      <c r="C8" s="52">
        <f>+Jauge!D9</f>
        <v>1918</v>
      </c>
      <c r="D8" s="52">
        <f>+Jauge!D10</f>
        <v>1911</v>
      </c>
      <c r="E8" s="52">
        <f>+Jauge!D11</f>
        <v>1916</v>
      </c>
      <c r="F8" s="52"/>
      <c r="G8" s="53">
        <f>+Jauge!E8</f>
        <v>27</v>
      </c>
      <c r="H8" s="53">
        <f>+Jauge!E9</f>
        <v>28</v>
      </c>
      <c r="I8" s="53">
        <f>+Jauge!E10</f>
        <v>26.5</v>
      </c>
      <c r="J8" s="53">
        <f>+Jauge!E11</f>
        <v>27.5</v>
      </c>
      <c r="K8" s="53"/>
      <c r="L8" s="54">
        <v>1487</v>
      </c>
      <c r="M8" s="54">
        <f>+B8-L8</f>
        <v>442</v>
      </c>
      <c r="N8" s="54">
        <f>+C8-L8</f>
        <v>431</v>
      </c>
      <c r="O8" s="54">
        <f>+D8-L8</f>
        <v>424</v>
      </c>
      <c r="P8" s="54">
        <f>+E8-L8</f>
        <v>429</v>
      </c>
      <c r="Q8" s="55">
        <f>+F8-L8</f>
        <v>-1487</v>
      </c>
      <c r="R8" s="54">
        <f>ABS(M8)</f>
        <v>442</v>
      </c>
      <c r="S8" s="54">
        <f>ABS(N8)</f>
        <v>431</v>
      </c>
      <c r="T8" s="54">
        <f>ABS(O8)</f>
        <v>424</v>
      </c>
      <c r="U8" s="54">
        <f>ABS(P8)</f>
        <v>429</v>
      </c>
      <c r="V8" s="54">
        <f>ABS(Q8)</f>
        <v>1487</v>
      </c>
      <c r="W8" s="54">
        <f>0.0216*(1487*1487*0.5*3.1416)+0.0216*(SIGN(M8)*2)*(1105584.5*ASIN(R8/1487))+0.0216*(SIGN(M8)*2)*R8*0.5*SQRT(1487*1487-R8*R8)</f>
        <v>102992.91312233414</v>
      </c>
      <c r="X8" s="54">
        <f>0.0216*(1487*1487*0.5*3.1416)+0.0216*(SIGN(N8)*2)*(1105584.5*ASIN(S8/1487))+0.0216*(SIGN(N8)*2)*S8*0.5*SQRT(1487*1487-S8*S8)</f>
        <v>102317.42242894822</v>
      </c>
      <c r="Y8" s="54">
        <f>0.0216*(1487*1487*0.5*3.1416)+0.0216*(SIGN(O8)*2)*(1105584.5*ASIN(T8/1487))+0.0216*(SIGN(O8)*2)*T8*0.5*SQRT(1487*1487-T8*T8)</f>
        <v>101886.73769684056</v>
      </c>
      <c r="Z8" s="54">
        <f>0.0216*(1487*1487*0.5*3.1416)+0.0216*(SIGN(P8)*2)*(1105584.5*ASIN(U8/1487))+0.0216*(SIGN(P8)*2)*U8*0.5*SQRT(1487*1487-U8*U8)</f>
        <v>102194.43456646228</v>
      </c>
      <c r="AA8" s="55">
        <f>0.0216*(1487*1487*0.5*3.1416)+0.0216*(SIGN(Q8)*2)*(1105584.5*ASIN(V8/1487))+0.0216*(SIGN(Q8)*2)*V8*0.5*SQRT(1487*1487-V8*V8)</f>
        <v>0.17543686871067621</v>
      </c>
      <c r="AB8" s="54">
        <f>ROUND(0.572+(1.16/1000)*(15-G8),4)</f>
        <v>0.55810000000000004</v>
      </c>
      <c r="AC8" s="54">
        <f>ROUND(0.572+(1.16/1000)*(15-H8),4)</f>
        <v>0.55689999999999995</v>
      </c>
      <c r="AD8" s="54">
        <f>ROUND(0.572+(1.16/1000)*(15-I8),4)</f>
        <v>0.55869999999999997</v>
      </c>
      <c r="AE8" s="54">
        <f>ROUND(0.572+(1.16/1000)*(15-J8),4)</f>
        <v>0.5575</v>
      </c>
      <c r="AF8" s="54">
        <f>ROUND(0.572+(1.16/1000)*(15-K8),4)</f>
        <v>0.58940000000000003</v>
      </c>
      <c r="AG8" s="56">
        <f>(BUTANE!C40+BUTANE!C55)*1000</f>
        <v>57989.616594334555</v>
      </c>
      <c r="AH8" s="56">
        <f>(BUTANE!D40+BUTANE!D55)*1000</f>
        <v>57515.437076486654</v>
      </c>
      <c r="AI8" s="56">
        <f>(BUTANE!E40+BUTANE!E55)*1000</f>
        <v>57444.008678008388</v>
      </c>
      <c r="AJ8" s="56">
        <f>(BUTANE!F40+BUTANE!F55)*1000</f>
        <v>57489.907908670124</v>
      </c>
      <c r="AK8" s="56">
        <f>+AF8*AA8</f>
        <v>0.10340249041807256</v>
      </c>
      <c r="AL8" s="176">
        <f>+BUTANE!B61</f>
        <v>230.4389702574997</v>
      </c>
      <c r="AN8" s="57"/>
      <c r="AO8" s="58"/>
      <c r="AS8" s="59"/>
    </row>
    <row r="9" spans="1:52" ht="6.75" customHeight="1">
      <c r="AH9" s="60"/>
      <c r="AK9" s="60"/>
      <c r="AL9" s="60"/>
    </row>
    <row r="10" spans="1:52"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61"/>
      <c r="AL10" s="62"/>
    </row>
    <row r="12" spans="1:52">
      <c r="AL12" s="59"/>
    </row>
    <row r="13" spans="1:52">
      <c r="AL13" s="59"/>
    </row>
    <row r="14" spans="1:52">
      <c r="AL14" s="59"/>
    </row>
    <row r="18" spans="10:10">
      <c r="J18" s="59"/>
    </row>
  </sheetData>
  <mergeCells count="2">
    <mergeCell ref="B3:AL3"/>
    <mergeCell ref="B4:AL4"/>
  </mergeCells>
  <pageMargins left="0.2" right="0" top="0.77" bottom="0.78740157480314965" header="0.51181102362204722" footer="0.51181102362204722"/>
  <pageSetup paperSize="9" scale="9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A1:AO54"/>
  <sheetViews>
    <sheetView showGridLines="0" view="pageBreakPreview" topLeftCell="A28" zoomScale="81" zoomScaleSheetLayoutView="100" workbookViewId="0">
      <selection activeCell="P33" sqref="P33:T33"/>
    </sheetView>
  </sheetViews>
  <sheetFormatPr baseColWidth="10" defaultColWidth="9.140625" defaultRowHeight="12.75"/>
  <cols>
    <col min="1" max="8" width="2.7109375" style="12" customWidth="1"/>
    <col min="9" max="9" width="1.42578125" style="12" customWidth="1"/>
    <col min="10" max="10" width="2.7109375" style="12" customWidth="1"/>
    <col min="11" max="32" width="3.28515625" style="12" customWidth="1"/>
    <col min="33" max="33" width="5" style="12" customWidth="1"/>
    <col min="34" max="35" width="3.28515625" style="12" customWidth="1"/>
    <col min="36" max="41" width="2.7109375" style="12" customWidth="1"/>
    <col min="42" max="42" width="10.28515625" style="12" customWidth="1"/>
    <col min="43" max="256" width="9.140625" style="12"/>
    <col min="257" max="264" width="2.7109375" style="12" customWidth="1"/>
    <col min="265" max="265" width="1.42578125" style="12" customWidth="1"/>
    <col min="266" max="266" width="2.7109375" style="12" customWidth="1"/>
    <col min="267" max="288" width="3.28515625" style="12" customWidth="1"/>
    <col min="289" max="289" width="5" style="12" customWidth="1"/>
    <col min="290" max="291" width="3.28515625" style="12" customWidth="1"/>
    <col min="292" max="297" width="2.7109375" style="12" customWidth="1"/>
    <col min="298" max="298" width="10.28515625" style="12" customWidth="1"/>
    <col min="299" max="512" width="9.140625" style="12"/>
    <col min="513" max="520" width="2.7109375" style="12" customWidth="1"/>
    <col min="521" max="521" width="1.42578125" style="12" customWidth="1"/>
    <col min="522" max="522" width="2.7109375" style="12" customWidth="1"/>
    <col min="523" max="544" width="3.28515625" style="12" customWidth="1"/>
    <col min="545" max="545" width="5" style="12" customWidth="1"/>
    <col min="546" max="547" width="3.28515625" style="12" customWidth="1"/>
    <col min="548" max="553" width="2.7109375" style="12" customWidth="1"/>
    <col min="554" max="554" width="10.28515625" style="12" customWidth="1"/>
    <col min="555" max="768" width="9.140625" style="12"/>
    <col min="769" max="776" width="2.7109375" style="12" customWidth="1"/>
    <col min="777" max="777" width="1.42578125" style="12" customWidth="1"/>
    <col min="778" max="778" width="2.7109375" style="12" customWidth="1"/>
    <col min="779" max="800" width="3.28515625" style="12" customWidth="1"/>
    <col min="801" max="801" width="5" style="12" customWidth="1"/>
    <col min="802" max="803" width="3.28515625" style="12" customWidth="1"/>
    <col min="804" max="809" width="2.7109375" style="12" customWidth="1"/>
    <col min="810" max="810" width="10.28515625" style="12" customWidth="1"/>
    <col min="811" max="1024" width="9.140625" style="12"/>
    <col min="1025" max="1032" width="2.7109375" style="12" customWidth="1"/>
    <col min="1033" max="1033" width="1.42578125" style="12" customWidth="1"/>
    <col min="1034" max="1034" width="2.7109375" style="12" customWidth="1"/>
    <col min="1035" max="1056" width="3.28515625" style="12" customWidth="1"/>
    <col min="1057" max="1057" width="5" style="12" customWidth="1"/>
    <col min="1058" max="1059" width="3.28515625" style="12" customWidth="1"/>
    <col min="1060" max="1065" width="2.7109375" style="12" customWidth="1"/>
    <col min="1066" max="1066" width="10.28515625" style="12" customWidth="1"/>
    <col min="1067" max="1280" width="9.140625" style="12"/>
    <col min="1281" max="1288" width="2.7109375" style="12" customWidth="1"/>
    <col min="1289" max="1289" width="1.42578125" style="12" customWidth="1"/>
    <col min="1290" max="1290" width="2.7109375" style="12" customWidth="1"/>
    <col min="1291" max="1312" width="3.28515625" style="12" customWidth="1"/>
    <col min="1313" max="1313" width="5" style="12" customWidth="1"/>
    <col min="1314" max="1315" width="3.28515625" style="12" customWidth="1"/>
    <col min="1316" max="1321" width="2.7109375" style="12" customWidth="1"/>
    <col min="1322" max="1322" width="10.28515625" style="12" customWidth="1"/>
    <col min="1323" max="1536" width="9.140625" style="12"/>
    <col min="1537" max="1544" width="2.7109375" style="12" customWidth="1"/>
    <col min="1545" max="1545" width="1.42578125" style="12" customWidth="1"/>
    <col min="1546" max="1546" width="2.7109375" style="12" customWidth="1"/>
    <col min="1547" max="1568" width="3.28515625" style="12" customWidth="1"/>
    <col min="1569" max="1569" width="5" style="12" customWidth="1"/>
    <col min="1570" max="1571" width="3.28515625" style="12" customWidth="1"/>
    <col min="1572" max="1577" width="2.7109375" style="12" customWidth="1"/>
    <col min="1578" max="1578" width="10.28515625" style="12" customWidth="1"/>
    <col min="1579" max="1792" width="9.140625" style="12"/>
    <col min="1793" max="1800" width="2.7109375" style="12" customWidth="1"/>
    <col min="1801" max="1801" width="1.42578125" style="12" customWidth="1"/>
    <col min="1802" max="1802" width="2.7109375" style="12" customWidth="1"/>
    <col min="1803" max="1824" width="3.28515625" style="12" customWidth="1"/>
    <col min="1825" max="1825" width="5" style="12" customWidth="1"/>
    <col min="1826" max="1827" width="3.28515625" style="12" customWidth="1"/>
    <col min="1828" max="1833" width="2.7109375" style="12" customWidth="1"/>
    <col min="1834" max="1834" width="10.28515625" style="12" customWidth="1"/>
    <col min="1835" max="2048" width="9.140625" style="12"/>
    <col min="2049" max="2056" width="2.7109375" style="12" customWidth="1"/>
    <col min="2057" max="2057" width="1.42578125" style="12" customWidth="1"/>
    <col min="2058" max="2058" width="2.7109375" style="12" customWidth="1"/>
    <col min="2059" max="2080" width="3.28515625" style="12" customWidth="1"/>
    <col min="2081" max="2081" width="5" style="12" customWidth="1"/>
    <col min="2082" max="2083" width="3.28515625" style="12" customWidth="1"/>
    <col min="2084" max="2089" width="2.7109375" style="12" customWidth="1"/>
    <col min="2090" max="2090" width="10.28515625" style="12" customWidth="1"/>
    <col min="2091" max="2304" width="9.140625" style="12"/>
    <col min="2305" max="2312" width="2.7109375" style="12" customWidth="1"/>
    <col min="2313" max="2313" width="1.42578125" style="12" customWidth="1"/>
    <col min="2314" max="2314" width="2.7109375" style="12" customWidth="1"/>
    <col min="2315" max="2336" width="3.28515625" style="12" customWidth="1"/>
    <col min="2337" max="2337" width="5" style="12" customWidth="1"/>
    <col min="2338" max="2339" width="3.28515625" style="12" customWidth="1"/>
    <col min="2340" max="2345" width="2.7109375" style="12" customWidth="1"/>
    <col min="2346" max="2346" width="10.28515625" style="12" customWidth="1"/>
    <col min="2347" max="2560" width="9.140625" style="12"/>
    <col min="2561" max="2568" width="2.7109375" style="12" customWidth="1"/>
    <col min="2569" max="2569" width="1.42578125" style="12" customWidth="1"/>
    <col min="2570" max="2570" width="2.7109375" style="12" customWidth="1"/>
    <col min="2571" max="2592" width="3.28515625" style="12" customWidth="1"/>
    <col min="2593" max="2593" width="5" style="12" customWidth="1"/>
    <col min="2594" max="2595" width="3.28515625" style="12" customWidth="1"/>
    <col min="2596" max="2601" width="2.7109375" style="12" customWidth="1"/>
    <col min="2602" max="2602" width="10.28515625" style="12" customWidth="1"/>
    <col min="2603" max="2816" width="9.140625" style="12"/>
    <col min="2817" max="2824" width="2.7109375" style="12" customWidth="1"/>
    <col min="2825" max="2825" width="1.42578125" style="12" customWidth="1"/>
    <col min="2826" max="2826" width="2.7109375" style="12" customWidth="1"/>
    <col min="2827" max="2848" width="3.28515625" style="12" customWidth="1"/>
    <col min="2849" max="2849" width="5" style="12" customWidth="1"/>
    <col min="2850" max="2851" width="3.28515625" style="12" customWidth="1"/>
    <col min="2852" max="2857" width="2.7109375" style="12" customWidth="1"/>
    <col min="2858" max="2858" width="10.28515625" style="12" customWidth="1"/>
    <col min="2859" max="3072" width="9.140625" style="12"/>
    <col min="3073" max="3080" width="2.7109375" style="12" customWidth="1"/>
    <col min="3081" max="3081" width="1.42578125" style="12" customWidth="1"/>
    <col min="3082" max="3082" width="2.7109375" style="12" customWidth="1"/>
    <col min="3083" max="3104" width="3.28515625" style="12" customWidth="1"/>
    <col min="3105" max="3105" width="5" style="12" customWidth="1"/>
    <col min="3106" max="3107" width="3.28515625" style="12" customWidth="1"/>
    <col min="3108" max="3113" width="2.7109375" style="12" customWidth="1"/>
    <col min="3114" max="3114" width="10.28515625" style="12" customWidth="1"/>
    <col min="3115" max="3328" width="9.140625" style="12"/>
    <col min="3329" max="3336" width="2.7109375" style="12" customWidth="1"/>
    <col min="3337" max="3337" width="1.42578125" style="12" customWidth="1"/>
    <col min="3338" max="3338" width="2.7109375" style="12" customWidth="1"/>
    <col min="3339" max="3360" width="3.28515625" style="12" customWidth="1"/>
    <col min="3361" max="3361" width="5" style="12" customWidth="1"/>
    <col min="3362" max="3363" width="3.28515625" style="12" customWidth="1"/>
    <col min="3364" max="3369" width="2.7109375" style="12" customWidth="1"/>
    <col min="3370" max="3370" width="10.28515625" style="12" customWidth="1"/>
    <col min="3371" max="3584" width="9.140625" style="12"/>
    <col min="3585" max="3592" width="2.7109375" style="12" customWidth="1"/>
    <col min="3593" max="3593" width="1.42578125" style="12" customWidth="1"/>
    <col min="3594" max="3594" width="2.7109375" style="12" customWidth="1"/>
    <col min="3595" max="3616" width="3.28515625" style="12" customWidth="1"/>
    <col min="3617" max="3617" width="5" style="12" customWidth="1"/>
    <col min="3618" max="3619" width="3.28515625" style="12" customWidth="1"/>
    <col min="3620" max="3625" width="2.7109375" style="12" customWidth="1"/>
    <col min="3626" max="3626" width="10.28515625" style="12" customWidth="1"/>
    <col min="3627" max="3840" width="9.140625" style="12"/>
    <col min="3841" max="3848" width="2.7109375" style="12" customWidth="1"/>
    <col min="3849" max="3849" width="1.42578125" style="12" customWidth="1"/>
    <col min="3850" max="3850" width="2.7109375" style="12" customWidth="1"/>
    <col min="3851" max="3872" width="3.28515625" style="12" customWidth="1"/>
    <col min="3873" max="3873" width="5" style="12" customWidth="1"/>
    <col min="3874" max="3875" width="3.28515625" style="12" customWidth="1"/>
    <col min="3876" max="3881" width="2.7109375" style="12" customWidth="1"/>
    <col min="3882" max="3882" width="10.28515625" style="12" customWidth="1"/>
    <col min="3883" max="4096" width="9.140625" style="12"/>
    <col min="4097" max="4104" width="2.7109375" style="12" customWidth="1"/>
    <col min="4105" max="4105" width="1.42578125" style="12" customWidth="1"/>
    <col min="4106" max="4106" width="2.7109375" style="12" customWidth="1"/>
    <col min="4107" max="4128" width="3.28515625" style="12" customWidth="1"/>
    <col min="4129" max="4129" width="5" style="12" customWidth="1"/>
    <col min="4130" max="4131" width="3.28515625" style="12" customWidth="1"/>
    <col min="4132" max="4137" width="2.7109375" style="12" customWidth="1"/>
    <col min="4138" max="4138" width="10.28515625" style="12" customWidth="1"/>
    <col min="4139" max="4352" width="9.140625" style="12"/>
    <col min="4353" max="4360" width="2.7109375" style="12" customWidth="1"/>
    <col min="4361" max="4361" width="1.42578125" style="12" customWidth="1"/>
    <col min="4362" max="4362" width="2.7109375" style="12" customWidth="1"/>
    <col min="4363" max="4384" width="3.28515625" style="12" customWidth="1"/>
    <col min="4385" max="4385" width="5" style="12" customWidth="1"/>
    <col min="4386" max="4387" width="3.28515625" style="12" customWidth="1"/>
    <col min="4388" max="4393" width="2.7109375" style="12" customWidth="1"/>
    <col min="4394" max="4394" width="10.28515625" style="12" customWidth="1"/>
    <col min="4395" max="4608" width="9.140625" style="12"/>
    <col min="4609" max="4616" width="2.7109375" style="12" customWidth="1"/>
    <col min="4617" max="4617" width="1.42578125" style="12" customWidth="1"/>
    <col min="4618" max="4618" width="2.7109375" style="12" customWidth="1"/>
    <col min="4619" max="4640" width="3.28515625" style="12" customWidth="1"/>
    <col min="4641" max="4641" width="5" style="12" customWidth="1"/>
    <col min="4642" max="4643" width="3.28515625" style="12" customWidth="1"/>
    <col min="4644" max="4649" width="2.7109375" style="12" customWidth="1"/>
    <col min="4650" max="4650" width="10.28515625" style="12" customWidth="1"/>
    <col min="4651" max="4864" width="9.140625" style="12"/>
    <col min="4865" max="4872" width="2.7109375" style="12" customWidth="1"/>
    <col min="4873" max="4873" width="1.42578125" style="12" customWidth="1"/>
    <col min="4874" max="4874" width="2.7109375" style="12" customWidth="1"/>
    <col min="4875" max="4896" width="3.28515625" style="12" customWidth="1"/>
    <col min="4897" max="4897" width="5" style="12" customWidth="1"/>
    <col min="4898" max="4899" width="3.28515625" style="12" customWidth="1"/>
    <col min="4900" max="4905" width="2.7109375" style="12" customWidth="1"/>
    <col min="4906" max="4906" width="10.28515625" style="12" customWidth="1"/>
    <col min="4907" max="5120" width="9.140625" style="12"/>
    <col min="5121" max="5128" width="2.7109375" style="12" customWidth="1"/>
    <col min="5129" max="5129" width="1.42578125" style="12" customWidth="1"/>
    <col min="5130" max="5130" width="2.7109375" style="12" customWidth="1"/>
    <col min="5131" max="5152" width="3.28515625" style="12" customWidth="1"/>
    <col min="5153" max="5153" width="5" style="12" customWidth="1"/>
    <col min="5154" max="5155" width="3.28515625" style="12" customWidth="1"/>
    <col min="5156" max="5161" width="2.7109375" style="12" customWidth="1"/>
    <col min="5162" max="5162" width="10.28515625" style="12" customWidth="1"/>
    <col min="5163" max="5376" width="9.140625" style="12"/>
    <col min="5377" max="5384" width="2.7109375" style="12" customWidth="1"/>
    <col min="5385" max="5385" width="1.42578125" style="12" customWidth="1"/>
    <col min="5386" max="5386" width="2.7109375" style="12" customWidth="1"/>
    <col min="5387" max="5408" width="3.28515625" style="12" customWidth="1"/>
    <col min="5409" max="5409" width="5" style="12" customWidth="1"/>
    <col min="5410" max="5411" width="3.28515625" style="12" customWidth="1"/>
    <col min="5412" max="5417" width="2.7109375" style="12" customWidth="1"/>
    <col min="5418" max="5418" width="10.28515625" style="12" customWidth="1"/>
    <col min="5419" max="5632" width="9.140625" style="12"/>
    <col min="5633" max="5640" width="2.7109375" style="12" customWidth="1"/>
    <col min="5641" max="5641" width="1.42578125" style="12" customWidth="1"/>
    <col min="5642" max="5642" width="2.7109375" style="12" customWidth="1"/>
    <col min="5643" max="5664" width="3.28515625" style="12" customWidth="1"/>
    <col min="5665" max="5665" width="5" style="12" customWidth="1"/>
    <col min="5666" max="5667" width="3.28515625" style="12" customWidth="1"/>
    <col min="5668" max="5673" width="2.7109375" style="12" customWidth="1"/>
    <col min="5674" max="5674" width="10.28515625" style="12" customWidth="1"/>
    <col min="5675" max="5888" width="9.140625" style="12"/>
    <col min="5889" max="5896" width="2.7109375" style="12" customWidth="1"/>
    <col min="5897" max="5897" width="1.42578125" style="12" customWidth="1"/>
    <col min="5898" max="5898" width="2.7109375" style="12" customWidth="1"/>
    <col min="5899" max="5920" width="3.28515625" style="12" customWidth="1"/>
    <col min="5921" max="5921" width="5" style="12" customWidth="1"/>
    <col min="5922" max="5923" width="3.28515625" style="12" customWidth="1"/>
    <col min="5924" max="5929" width="2.7109375" style="12" customWidth="1"/>
    <col min="5930" max="5930" width="10.28515625" style="12" customWidth="1"/>
    <col min="5931" max="6144" width="9.140625" style="12"/>
    <col min="6145" max="6152" width="2.7109375" style="12" customWidth="1"/>
    <col min="6153" max="6153" width="1.42578125" style="12" customWidth="1"/>
    <col min="6154" max="6154" width="2.7109375" style="12" customWidth="1"/>
    <col min="6155" max="6176" width="3.28515625" style="12" customWidth="1"/>
    <col min="6177" max="6177" width="5" style="12" customWidth="1"/>
    <col min="6178" max="6179" width="3.28515625" style="12" customWidth="1"/>
    <col min="6180" max="6185" width="2.7109375" style="12" customWidth="1"/>
    <col min="6186" max="6186" width="10.28515625" style="12" customWidth="1"/>
    <col min="6187" max="6400" width="9.140625" style="12"/>
    <col min="6401" max="6408" width="2.7109375" style="12" customWidth="1"/>
    <col min="6409" max="6409" width="1.42578125" style="12" customWidth="1"/>
    <col min="6410" max="6410" width="2.7109375" style="12" customWidth="1"/>
    <col min="6411" max="6432" width="3.28515625" style="12" customWidth="1"/>
    <col min="6433" max="6433" width="5" style="12" customWidth="1"/>
    <col min="6434" max="6435" width="3.28515625" style="12" customWidth="1"/>
    <col min="6436" max="6441" width="2.7109375" style="12" customWidth="1"/>
    <col min="6442" max="6442" width="10.28515625" style="12" customWidth="1"/>
    <col min="6443" max="6656" width="9.140625" style="12"/>
    <col min="6657" max="6664" width="2.7109375" style="12" customWidth="1"/>
    <col min="6665" max="6665" width="1.42578125" style="12" customWidth="1"/>
    <col min="6666" max="6666" width="2.7109375" style="12" customWidth="1"/>
    <col min="6667" max="6688" width="3.28515625" style="12" customWidth="1"/>
    <col min="6689" max="6689" width="5" style="12" customWidth="1"/>
    <col min="6690" max="6691" width="3.28515625" style="12" customWidth="1"/>
    <col min="6692" max="6697" width="2.7109375" style="12" customWidth="1"/>
    <col min="6698" max="6698" width="10.28515625" style="12" customWidth="1"/>
    <col min="6699" max="6912" width="9.140625" style="12"/>
    <col min="6913" max="6920" width="2.7109375" style="12" customWidth="1"/>
    <col min="6921" max="6921" width="1.42578125" style="12" customWidth="1"/>
    <col min="6922" max="6922" width="2.7109375" style="12" customWidth="1"/>
    <col min="6923" max="6944" width="3.28515625" style="12" customWidth="1"/>
    <col min="6945" max="6945" width="5" style="12" customWidth="1"/>
    <col min="6946" max="6947" width="3.28515625" style="12" customWidth="1"/>
    <col min="6948" max="6953" width="2.7109375" style="12" customWidth="1"/>
    <col min="6954" max="6954" width="10.28515625" style="12" customWidth="1"/>
    <col min="6955" max="7168" width="9.140625" style="12"/>
    <col min="7169" max="7176" width="2.7109375" style="12" customWidth="1"/>
    <col min="7177" max="7177" width="1.42578125" style="12" customWidth="1"/>
    <col min="7178" max="7178" width="2.7109375" style="12" customWidth="1"/>
    <col min="7179" max="7200" width="3.28515625" style="12" customWidth="1"/>
    <col min="7201" max="7201" width="5" style="12" customWidth="1"/>
    <col min="7202" max="7203" width="3.28515625" style="12" customWidth="1"/>
    <col min="7204" max="7209" width="2.7109375" style="12" customWidth="1"/>
    <col min="7210" max="7210" width="10.28515625" style="12" customWidth="1"/>
    <col min="7211" max="7424" width="9.140625" style="12"/>
    <col min="7425" max="7432" width="2.7109375" style="12" customWidth="1"/>
    <col min="7433" max="7433" width="1.42578125" style="12" customWidth="1"/>
    <col min="7434" max="7434" width="2.7109375" style="12" customWidth="1"/>
    <col min="7435" max="7456" width="3.28515625" style="12" customWidth="1"/>
    <col min="7457" max="7457" width="5" style="12" customWidth="1"/>
    <col min="7458" max="7459" width="3.28515625" style="12" customWidth="1"/>
    <col min="7460" max="7465" width="2.7109375" style="12" customWidth="1"/>
    <col min="7466" max="7466" width="10.28515625" style="12" customWidth="1"/>
    <col min="7467" max="7680" width="9.140625" style="12"/>
    <col min="7681" max="7688" width="2.7109375" style="12" customWidth="1"/>
    <col min="7689" max="7689" width="1.42578125" style="12" customWidth="1"/>
    <col min="7690" max="7690" width="2.7109375" style="12" customWidth="1"/>
    <col min="7691" max="7712" width="3.28515625" style="12" customWidth="1"/>
    <col min="7713" max="7713" width="5" style="12" customWidth="1"/>
    <col min="7714" max="7715" width="3.28515625" style="12" customWidth="1"/>
    <col min="7716" max="7721" width="2.7109375" style="12" customWidth="1"/>
    <col min="7722" max="7722" width="10.28515625" style="12" customWidth="1"/>
    <col min="7723" max="7936" width="9.140625" style="12"/>
    <col min="7937" max="7944" width="2.7109375" style="12" customWidth="1"/>
    <col min="7945" max="7945" width="1.42578125" style="12" customWidth="1"/>
    <col min="7946" max="7946" width="2.7109375" style="12" customWidth="1"/>
    <col min="7947" max="7968" width="3.28515625" style="12" customWidth="1"/>
    <col min="7969" max="7969" width="5" style="12" customWidth="1"/>
    <col min="7970" max="7971" width="3.28515625" style="12" customWidth="1"/>
    <col min="7972" max="7977" width="2.7109375" style="12" customWidth="1"/>
    <col min="7978" max="7978" width="10.28515625" style="12" customWidth="1"/>
    <col min="7979" max="8192" width="9.140625" style="12"/>
    <col min="8193" max="8200" width="2.7109375" style="12" customWidth="1"/>
    <col min="8201" max="8201" width="1.42578125" style="12" customWidth="1"/>
    <col min="8202" max="8202" width="2.7109375" style="12" customWidth="1"/>
    <col min="8203" max="8224" width="3.28515625" style="12" customWidth="1"/>
    <col min="8225" max="8225" width="5" style="12" customWidth="1"/>
    <col min="8226" max="8227" width="3.28515625" style="12" customWidth="1"/>
    <col min="8228" max="8233" width="2.7109375" style="12" customWidth="1"/>
    <col min="8234" max="8234" width="10.28515625" style="12" customWidth="1"/>
    <col min="8235" max="8448" width="9.140625" style="12"/>
    <col min="8449" max="8456" width="2.7109375" style="12" customWidth="1"/>
    <col min="8457" max="8457" width="1.42578125" style="12" customWidth="1"/>
    <col min="8458" max="8458" width="2.7109375" style="12" customWidth="1"/>
    <col min="8459" max="8480" width="3.28515625" style="12" customWidth="1"/>
    <col min="8481" max="8481" width="5" style="12" customWidth="1"/>
    <col min="8482" max="8483" width="3.28515625" style="12" customWidth="1"/>
    <col min="8484" max="8489" width="2.7109375" style="12" customWidth="1"/>
    <col min="8490" max="8490" width="10.28515625" style="12" customWidth="1"/>
    <col min="8491" max="8704" width="9.140625" style="12"/>
    <col min="8705" max="8712" width="2.7109375" style="12" customWidth="1"/>
    <col min="8713" max="8713" width="1.42578125" style="12" customWidth="1"/>
    <col min="8714" max="8714" width="2.7109375" style="12" customWidth="1"/>
    <col min="8715" max="8736" width="3.28515625" style="12" customWidth="1"/>
    <col min="8737" max="8737" width="5" style="12" customWidth="1"/>
    <col min="8738" max="8739" width="3.28515625" style="12" customWidth="1"/>
    <col min="8740" max="8745" width="2.7109375" style="12" customWidth="1"/>
    <col min="8746" max="8746" width="10.28515625" style="12" customWidth="1"/>
    <col min="8747" max="8960" width="9.140625" style="12"/>
    <col min="8961" max="8968" width="2.7109375" style="12" customWidth="1"/>
    <col min="8969" max="8969" width="1.42578125" style="12" customWidth="1"/>
    <col min="8970" max="8970" width="2.7109375" style="12" customWidth="1"/>
    <col min="8971" max="8992" width="3.28515625" style="12" customWidth="1"/>
    <col min="8993" max="8993" width="5" style="12" customWidth="1"/>
    <col min="8994" max="8995" width="3.28515625" style="12" customWidth="1"/>
    <col min="8996" max="9001" width="2.7109375" style="12" customWidth="1"/>
    <col min="9002" max="9002" width="10.28515625" style="12" customWidth="1"/>
    <col min="9003" max="9216" width="9.140625" style="12"/>
    <col min="9217" max="9224" width="2.7109375" style="12" customWidth="1"/>
    <col min="9225" max="9225" width="1.42578125" style="12" customWidth="1"/>
    <col min="9226" max="9226" width="2.7109375" style="12" customWidth="1"/>
    <col min="9227" max="9248" width="3.28515625" style="12" customWidth="1"/>
    <col min="9249" max="9249" width="5" style="12" customWidth="1"/>
    <col min="9250" max="9251" width="3.28515625" style="12" customWidth="1"/>
    <col min="9252" max="9257" width="2.7109375" style="12" customWidth="1"/>
    <col min="9258" max="9258" width="10.28515625" style="12" customWidth="1"/>
    <col min="9259" max="9472" width="9.140625" style="12"/>
    <col min="9473" max="9480" width="2.7109375" style="12" customWidth="1"/>
    <col min="9481" max="9481" width="1.42578125" style="12" customWidth="1"/>
    <col min="9482" max="9482" width="2.7109375" style="12" customWidth="1"/>
    <col min="9483" max="9504" width="3.28515625" style="12" customWidth="1"/>
    <col min="9505" max="9505" width="5" style="12" customWidth="1"/>
    <col min="9506" max="9507" width="3.28515625" style="12" customWidth="1"/>
    <col min="9508" max="9513" width="2.7109375" style="12" customWidth="1"/>
    <col min="9514" max="9514" width="10.28515625" style="12" customWidth="1"/>
    <col min="9515" max="9728" width="9.140625" style="12"/>
    <col min="9729" max="9736" width="2.7109375" style="12" customWidth="1"/>
    <col min="9737" max="9737" width="1.42578125" style="12" customWidth="1"/>
    <col min="9738" max="9738" width="2.7109375" style="12" customWidth="1"/>
    <col min="9739" max="9760" width="3.28515625" style="12" customWidth="1"/>
    <col min="9761" max="9761" width="5" style="12" customWidth="1"/>
    <col min="9762" max="9763" width="3.28515625" style="12" customWidth="1"/>
    <col min="9764" max="9769" width="2.7109375" style="12" customWidth="1"/>
    <col min="9770" max="9770" width="10.28515625" style="12" customWidth="1"/>
    <col min="9771" max="9984" width="9.140625" style="12"/>
    <col min="9985" max="9992" width="2.7109375" style="12" customWidth="1"/>
    <col min="9993" max="9993" width="1.42578125" style="12" customWidth="1"/>
    <col min="9994" max="9994" width="2.7109375" style="12" customWidth="1"/>
    <col min="9995" max="10016" width="3.28515625" style="12" customWidth="1"/>
    <col min="10017" max="10017" width="5" style="12" customWidth="1"/>
    <col min="10018" max="10019" width="3.28515625" style="12" customWidth="1"/>
    <col min="10020" max="10025" width="2.7109375" style="12" customWidth="1"/>
    <col min="10026" max="10026" width="10.28515625" style="12" customWidth="1"/>
    <col min="10027" max="10240" width="9.140625" style="12"/>
    <col min="10241" max="10248" width="2.7109375" style="12" customWidth="1"/>
    <col min="10249" max="10249" width="1.42578125" style="12" customWidth="1"/>
    <col min="10250" max="10250" width="2.7109375" style="12" customWidth="1"/>
    <col min="10251" max="10272" width="3.28515625" style="12" customWidth="1"/>
    <col min="10273" max="10273" width="5" style="12" customWidth="1"/>
    <col min="10274" max="10275" width="3.28515625" style="12" customWidth="1"/>
    <col min="10276" max="10281" width="2.7109375" style="12" customWidth="1"/>
    <col min="10282" max="10282" width="10.28515625" style="12" customWidth="1"/>
    <col min="10283" max="10496" width="9.140625" style="12"/>
    <col min="10497" max="10504" width="2.7109375" style="12" customWidth="1"/>
    <col min="10505" max="10505" width="1.42578125" style="12" customWidth="1"/>
    <col min="10506" max="10506" width="2.7109375" style="12" customWidth="1"/>
    <col min="10507" max="10528" width="3.28515625" style="12" customWidth="1"/>
    <col min="10529" max="10529" width="5" style="12" customWidth="1"/>
    <col min="10530" max="10531" width="3.28515625" style="12" customWidth="1"/>
    <col min="10532" max="10537" width="2.7109375" style="12" customWidth="1"/>
    <col min="10538" max="10538" width="10.28515625" style="12" customWidth="1"/>
    <col min="10539" max="10752" width="9.140625" style="12"/>
    <col min="10753" max="10760" width="2.7109375" style="12" customWidth="1"/>
    <col min="10761" max="10761" width="1.42578125" style="12" customWidth="1"/>
    <col min="10762" max="10762" width="2.7109375" style="12" customWidth="1"/>
    <col min="10763" max="10784" width="3.28515625" style="12" customWidth="1"/>
    <col min="10785" max="10785" width="5" style="12" customWidth="1"/>
    <col min="10786" max="10787" width="3.28515625" style="12" customWidth="1"/>
    <col min="10788" max="10793" width="2.7109375" style="12" customWidth="1"/>
    <col min="10794" max="10794" width="10.28515625" style="12" customWidth="1"/>
    <col min="10795" max="11008" width="9.140625" style="12"/>
    <col min="11009" max="11016" width="2.7109375" style="12" customWidth="1"/>
    <col min="11017" max="11017" width="1.42578125" style="12" customWidth="1"/>
    <col min="11018" max="11018" width="2.7109375" style="12" customWidth="1"/>
    <col min="11019" max="11040" width="3.28515625" style="12" customWidth="1"/>
    <col min="11041" max="11041" width="5" style="12" customWidth="1"/>
    <col min="11042" max="11043" width="3.28515625" style="12" customWidth="1"/>
    <col min="11044" max="11049" width="2.7109375" style="12" customWidth="1"/>
    <col min="11050" max="11050" width="10.28515625" style="12" customWidth="1"/>
    <col min="11051" max="11264" width="9.140625" style="12"/>
    <col min="11265" max="11272" width="2.7109375" style="12" customWidth="1"/>
    <col min="11273" max="11273" width="1.42578125" style="12" customWidth="1"/>
    <col min="11274" max="11274" width="2.7109375" style="12" customWidth="1"/>
    <col min="11275" max="11296" width="3.28515625" style="12" customWidth="1"/>
    <col min="11297" max="11297" width="5" style="12" customWidth="1"/>
    <col min="11298" max="11299" width="3.28515625" style="12" customWidth="1"/>
    <col min="11300" max="11305" width="2.7109375" style="12" customWidth="1"/>
    <col min="11306" max="11306" width="10.28515625" style="12" customWidth="1"/>
    <col min="11307" max="11520" width="9.140625" style="12"/>
    <col min="11521" max="11528" width="2.7109375" style="12" customWidth="1"/>
    <col min="11529" max="11529" width="1.42578125" style="12" customWidth="1"/>
    <col min="11530" max="11530" width="2.7109375" style="12" customWidth="1"/>
    <col min="11531" max="11552" width="3.28515625" style="12" customWidth="1"/>
    <col min="11553" max="11553" width="5" style="12" customWidth="1"/>
    <col min="11554" max="11555" width="3.28515625" style="12" customWidth="1"/>
    <col min="11556" max="11561" width="2.7109375" style="12" customWidth="1"/>
    <col min="11562" max="11562" width="10.28515625" style="12" customWidth="1"/>
    <col min="11563" max="11776" width="9.140625" style="12"/>
    <col min="11777" max="11784" width="2.7109375" style="12" customWidth="1"/>
    <col min="11785" max="11785" width="1.42578125" style="12" customWidth="1"/>
    <col min="11786" max="11786" width="2.7109375" style="12" customWidth="1"/>
    <col min="11787" max="11808" width="3.28515625" style="12" customWidth="1"/>
    <col min="11809" max="11809" width="5" style="12" customWidth="1"/>
    <col min="11810" max="11811" width="3.28515625" style="12" customWidth="1"/>
    <col min="11812" max="11817" width="2.7109375" style="12" customWidth="1"/>
    <col min="11818" max="11818" width="10.28515625" style="12" customWidth="1"/>
    <col min="11819" max="12032" width="9.140625" style="12"/>
    <col min="12033" max="12040" width="2.7109375" style="12" customWidth="1"/>
    <col min="12041" max="12041" width="1.42578125" style="12" customWidth="1"/>
    <col min="12042" max="12042" width="2.7109375" style="12" customWidth="1"/>
    <col min="12043" max="12064" width="3.28515625" style="12" customWidth="1"/>
    <col min="12065" max="12065" width="5" style="12" customWidth="1"/>
    <col min="12066" max="12067" width="3.28515625" style="12" customWidth="1"/>
    <col min="12068" max="12073" width="2.7109375" style="12" customWidth="1"/>
    <col min="12074" max="12074" width="10.28515625" style="12" customWidth="1"/>
    <col min="12075" max="12288" width="9.140625" style="12"/>
    <col min="12289" max="12296" width="2.7109375" style="12" customWidth="1"/>
    <col min="12297" max="12297" width="1.42578125" style="12" customWidth="1"/>
    <col min="12298" max="12298" width="2.7109375" style="12" customWidth="1"/>
    <col min="12299" max="12320" width="3.28515625" style="12" customWidth="1"/>
    <col min="12321" max="12321" width="5" style="12" customWidth="1"/>
    <col min="12322" max="12323" width="3.28515625" style="12" customWidth="1"/>
    <col min="12324" max="12329" width="2.7109375" style="12" customWidth="1"/>
    <col min="12330" max="12330" width="10.28515625" style="12" customWidth="1"/>
    <col min="12331" max="12544" width="9.140625" style="12"/>
    <col min="12545" max="12552" width="2.7109375" style="12" customWidth="1"/>
    <col min="12553" max="12553" width="1.42578125" style="12" customWidth="1"/>
    <col min="12554" max="12554" width="2.7109375" style="12" customWidth="1"/>
    <col min="12555" max="12576" width="3.28515625" style="12" customWidth="1"/>
    <col min="12577" max="12577" width="5" style="12" customWidth="1"/>
    <col min="12578" max="12579" width="3.28515625" style="12" customWidth="1"/>
    <col min="12580" max="12585" width="2.7109375" style="12" customWidth="1"/>
    <col min="12586" max="12586" width="10.28515625" style="12" customWidth="1"/>
    <col min="12587" max="12800" width="9.140625" style="12"/>
    <col min="12801" max="12808" width="2.7109375" style="12" customWidth="1"/>
    <col min="12809" max="12809" width="1.42578125" style="12" customWidth="1"/>
    <col min="12810" max="12810" width="2.7109375" style="12" customWidth="1"/>
    <col min="12811" max="12832" width="3.28515625" style="12" customWidth="1"/>
    <col min="12833" max="12833" width="5" style="12" customWidth="1"/>
    <col min="12834" max="12835" width="3.28515625" style="12" customWidth="1"/>
    <col min="12836" max="12841" width="2.7109375" style="12" customWidth="1"/>
    <col min="12842" max="12842" width="10.28515625" style="12" customWidth="1"/>
    <col min="12843" max="13056" width="9.140625" style="12"/>
    <col min="13057" max="13064" width="2.7109375" style="12" customWidth="1"/>
    <col min="13065" max="13065" width="1.42578125" style="12" customWidth="1"/>
    <col min="13066" max="13066" width="2.7109375" style="12" customWidth="1"/>
    <col min="13067" max="13088" width="3.28515625" style="12" customWidth="1"/>
    <col min="13089" max="13089" width="5" style="12" customWidth="1"/>
    <col min="13090" max="13091" width="3.28515625" style="12" customWidth="1"/>
    <col min="13092" max="13097" width="2.7109375" style="12" customWidth="1"/>
    <col min="13098" max="13098" width="10.28515625" style="12" customWidth="1"/>
    <col min="13099" max="13312" width="9.140625" style="12"/>
    <col min="13313" max="13320" width="2.7109375" style="12" customWidth="1"/>
    <col min="13321" max="13321" width="1.42578125" style="12" customWidth="1"/>
    <col min="13322" max="13322" width="2.7109375" style="12" customWidth="1"/>
    <col min="13323" max="13344" width="3.28515625" style="12" customWidth="1"/>
    <col min="13345" max="13345" width="5" style="12" customWidth="1"/>
    <col min="13346" max="13347" width="3.28515625" style="12" customWidth="1"/>
    <col min="13348" max="13353" width="2.7109375" style="12" customWidth="1"/>
    <col min="13354" max="13354" width="10.28515625" style="12" customWidth="1"/>
    <col min="13355" max="13568" width="9.140625" style="12"/>
    <col min="13569" max="13576" width="2.7109375" style="12" customWidth="1"/>
    <col min="13577" max="13577" width="1.42578125" style="12" customWidth="1"/>
    <col min="13578" max="13578" width="2.7109375" style="12" customWidth="1"/>
    <col min="13579" max="13600" width="3.28515625" style="12" customWidth="1"/>
    <col min="13601" max="13601" width="5" style="12" customWidth="1"/>
    <col min="13602" max="13603" width="3.28515625" style="12" customWidth="1"/>
    <col min="13604" max="13609" width="2.7109375" style="12" customWidth="1"/>
    <col min="13610" max="13610" width="10.28515625" style="12" customWidth="1"/>
    <col min="13611" max="13824" width="9.140625" style="12"/>
    <col min="13825" max="13832" width="2.7109375" style="12" customWidth="1"/>
    <col min="13833" max="13833" width="1.42578125" style="12" customWidth="1"/>
    <col min="13834" max="13834" width="2.7109375" style="12" customWidth="1"/>
    <col min="13835" max="13856" width="3.28515625" style="12" customWidth="1"/>
    <col min="13857" max="13857" width="5" style="12" customWidth="1"/>
    <col min="13858" max="13859" width="3.28515625" style="12" customWidth="1"/>
    <col min="13860" max="13865" width="2.7109375" style="12" customWidth="1"/>
    <col min="13866" max="13866" width="10.28515625" style="12" customWidth="1"/>
    <col min="13867" max="14080" width="9.140625" style="12"/>
    <col min="14081" max="14088" width="2.7109375" style="12" customWidth="1"/>
    <col min="14089" max="14089" width="1.42578125" style="12" customWidth="1"/>
    <col min="14090" max="14090" width="2.7109375" style="12" customWidth="1"/>
    <col min="14091" max="14112" width="3.28515625" style="12" customWidth="1"/>
    <col min="14113" max="14113" width="5" style="12" customWidth="1"/>
    <col min="14114" max="14115" width="3.28515625" style="12" customWidth="1"/>
    <col min="14116" max="14121" width="2.7109375" style="12" customWidth="1"/>
    <col min="14122" max="14122" width="10.28515625" style="12" customWidth="1"/>
    <col min="14123" max="14336" width="9.140625" style="12"/>
    <col min="14337" max="14344" width="2.7109375" style="12" customWidth="1"/>
    <col min="14345" max="14345" width="1.42578125" style="12" customWidth="1"/>
    <col min="14346" max="14346" width="2.7109375" style="12" customWidth="1"/>
    <col min="14347" max="14368" width="3.28515625" style="12" customWidth="1"/>
    <col min="14369" max="14369" width="5" style="12" customWidth="1"/>
    <col min="14370" max="14371" width="3.28515625" style="12" customWidth="1"/>
    <col min="14372" max="14377" width="2.7109375" style="12" customWidth="1"/>
    <col min="14378" max="14378" width="10.28515625" style="12" customWidth="1"/>
    <col min="14379" max="14592" width="9.140625" style="12"/>
    <col min="14593" max="14600" width="2.7109375" style="12" customWidth="1"/>
    <col min="14601" max="14601" width="1.42578125" style="12" customWidth="1"/>
    <col min="14602" max="14602" width="2.7109375" style="12" customWidth="1"/>
    <col min="14603" max="14624" width="3.28515625" style="12" customWidth="1"/>
    <col min="14625" max="14625" width="5" style="12" customWidth="1"/>
    <col min="14626" max="14627" width="3.28515625" style="12" customWidth="1"/>
    <col min="14628" max="14633" width="2.7109375" style="12" customWidth="1"/>
    <col min="14634" max="14634" width="10.28515625" style="12" customWidth="1"/>
    <col min="14635" max="14848" width="9.140625" style="12"/>
    <col min="14849" max="14856" width="2.7109375" style="12" customWidth="1"/>
    <col min="14857" max="14857" width="1.42578125" style="12" customWidth="1"/>
    <col min="14858" max="14858" width="2.7109375" style="12" customWidth="1"/>
    <col min="14859" max="14880" width="3.28515625" style="12" customWidth="1"/>
    <col min="14881" max="14881" width="5" style="12" customWidth="1"/>
    <col min="14882" max="14883" width="3.28515625" style="12" customWidth="1"/>
    <col min="14884" max="14889" width="2.7109375" style="12" customWidth="1"/>
    <col min="14890" max="14890" width="10.28515625" style="12" customWidth="1"/>
    <col min="14891" max="15104" width="9.140625" style="12"/>
    <col min="15105" max="15112" width="2.7109375" style="12" customWidth="1"/>
    <col min="15113" max="15113" width="1.42578125" style="12" customWidth="1"/>
    <col min="15114" max="15114" width="2.7109375" style="12" customWidth="1"/>
    <col min="15115" max="15136" width="3.28515625" style="12" customWidth="1"/>
    <col min="15137" max="15137" width="5" style="12" customWidth="1"/>
    <col min="15138" max="15139" width="3.28515625" style="12" customWidth="1"/>
    <col min="15140" max="15145" width="2.7109375" style="12" customWidth="1"/>
    <col min="15146" max="15146" width="10.28515625" style="12" customWidth="1"/>
    <col min="15147" max="15360" width="9.140625" style="12"/>
    <col min="15361" max="15368" width="2.7109375" style="12" customWidth="1"/>
    <col min="15369" max="15369" width="1.42578125" style="12" customWidth="1"/>
    <col min="15370" max="15370" width="2.7109375" style="12" customWidth="1"/>
    <col min="15371" max="15392" width="3.28515625" style="12" customWidth="1"/>
    <col min="15393" max="15393" width="5" style="12" customWidth="1"/>
    <col min="15394" max="15395" width="3.28515625" style="12" customWidth="1"/>
    <col min="15396" max="15401" width="2.7109375" style="12" customWidth="1"/>
    <col min="15402" max="15402" width="10.28515625" style="12" customWidth="1"/>
    <col min="15403" max="15616" width="9.140625" style="12"/>
    <col min="15617" max="15624" width="2.7109375" style="12" customWidth="1"/>
    <col min="15625" max="15625" width="1.42578125" style="12" customWidth="1"/>
    <col min="15626" max="15626" width="2.7109375" style="12" customWidth="1"/>
    <col min="15627" max="15648" width="3.28515625" style="12" customWidth="1"/>
    <col min="15649" max="15649" width="5" style="12" customWidth="1"/>
    <col min="15650" max="15651" width="3.28515625" style="12" customWidth="1"/>
    <col min="15652" max="15657" width="2.7109375" style="12" customWidth="1"/>
    <col min="15658" max="15658" width="10.28515625" style="12" customWidth="1"/>
    <col min="15659" max="15872" width="9.140625" style="12"/>
    <col min="15873" max="15880" width="2.7109375" style="12" customWidth="1"/>
    <col min="15881" max="15881" width="1.42578125" style="12" customWidth="1"/>
    <col min="15882" max="15882" width="2.7109375" style="12" customWidth="1"/>
    <col min="15883" max="15904" width="3.28515625" style="12" customWidth="1"/>
    <col min="15905" max="15905" width="5" style="12" customWidth="1"/>
    <col min="15906" max="15907" width="3.28515625" style="12" customWidth="1"/>
    <col min="15908" max="15913" width="2.7109375" style="12" customWidth="1"/>
    <col min="15914" max="15914" width="10.28515625" style="12" customWidth="1"/>
    <col min="15915" max="16128" width="9.140625" style="12"/>
    <col min="16129" max="16136" width="2.7109375" style="12" customWidth="1"/>
    <col min="16137" max="16137" width="1.42578125" style="12" customWidth="1"/>
    <col min="16138" max="16138" width="2.7109375" style="12" customWidth="1"/>
    <col min="16139" max="16160" width="3.28515625" style="12" customWidth="1"/>
    <col min="16161" max="16161" width="5" style="12" customWidth="1"/>
    <col min="16162" max="16163" width="3.28515625" style="12" customWidth="1"/>
    <col min="16164" max="16169" width="2.7109375" style="12" customWidth="1"/>
    <col min="16170" max="16170" width="10.28515625" style="12" customWidth="1"/>
    <col min="16171" max="16384" width="9.140625" style="12"/>
  </cols>
  <sheetData>
    <row r="1" spans="1:40" ht="14.25" customHeight="1"/>
    <row r="2" spans="1:40" ht="14.25" customHeight="1">
      <c r="A2" s="13"/>
      <c r="B2" s="13"/>
      <c r="C2" s="13"/>
      <c r="D2" s="13"/>
      <c r="E2" s="13"/>
      <c r="F2" s="13"/>
      <c r="G2" s="13"/>
    </row>
    <row r="3" spans="1:40" ht="14.25" customHeight="1">
      <c r="A3" s="13"/>
      <c r="B3" s="13"/>
      <c r="C3" s="13"/>
      <c r="D3" s="13"/>
      <c r="E3" s="13"/>
      <c r="F3" s="13"/>
      <c r="G3" s="13"/>
      <c r="S3" s="306" t="s">
        <v>26</v>
      </c>
      <c r="T3" s="307"/>
      <c r="U3" s="307"/>
      <c r="V3" s="307"/>
      <c r="W3" s="308"/>
      <c r="X3" s="309"/>
      <c r="Y3" s="310"/>
      <c r="Z3" s="310"/>
      <c r="AA3" s="310"/>
      <c r="AB3" s="310"/>
      <c r="AC3" s="310"/>
      <c r="AD3" s="310"/>
      <c r="AE3" s="310"/>
      <c r="AF3" s="310"/>
      <c r="AG3" s="310"/>
      <c r="AH3" s="310"/>
      <c r="AI3" s="311"/>
    </row>
    <row r="4" spans="1:40" ht="12" customHeight="1">
      <c r="A4" s="13"/>
      <c r="B4" s="13"/>
      <c r="C4" s="13"/>
      <c r="D4" s="13"/>
      <c r="E4" s="13"/>
      <c r="F4" s="13"/>
      <c r="G4" s="13"/>
      <c r="S4" s="312" t="s">
        <v>27</v>
      </c>
      <c r="T4" s="313"/>
      <c r="U4" s="313"/>
      <c r="V4" s="313"/>
      <c r="W4" s="314"/>
      <c r="X4" s="315" t="s">
        <v>28</v>
      </c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7"/>
    </row>
    <row r="5" spans="1:40" ht="14.25" customHeight="1">
      <c r="A5" s="13"/>
      <c r="B5" s="13"/>
      <c r="C5" s="13"/>
      <c r="D5" s="13"/>
      <c r="E5" s="13"/>
      <c r="F5" s="13"/>
      <c r="G5" s="13"/>
      <c r="S5" s="312" t="s">
        <v>29</v>
      </c>
      <c r="T5" s="313"/>
      <c r="U5" s="313"/>
      <c r="V5" s="313"/>
      <c r="W5" s="314"/>
      <c r="X5" s="315" t="s">
        <v>30</v>
      </c>
      <c r="Y5" s="316"/>
      <c r="Z5" s="316"/>
      <c r="AA5" s="316"/>
      <c r="AB5" s="316"/>
      <c r="AC5" s="316"/>
      <c r="AD5" s="316"/>
      <c r="AE5" s="316"/>
      <c r="AF5" s="316"/>
      <c r="AG5" s="316"/>
      <c r="AH5" s="316"/>
      <c r="AI5" s="317"/>
    </row>
    <row r="6" spans="1:40" ht="14.25" customHeight="1">
      <c r="A6" s="13"/>
      <c r="B6" s="13"/>
      <c r="C6" s="13"/>
      <c r="D6" s="13"/>
      <c r="E6" s="13"/>
      <c r="F6" s="13"/>
      <c r="G6" s="13"/>
      <c r="S6" s="312" t="s">
        <v>31</v>
      </c>
      <c r="T6" s="313"/>
      <c r="U6" s="313"/>
      <c r="V6" s="313"/>
      <c r="W6" s="314"/>
      <c r="X6" s="318">
        <f>+K14</f>
        <v>45658</v>
      </c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20"/>
    </row>
    <row r="7" spans="1:40" ht="14.25" customHeight="1">
      <c r="A7" s="14"/>
      <c r="B7" s="14"/>
      <c r="C7" s="14"/>
      <c r="D7" s="14"/>
      <c r="E7" s="15"/>
      <c r="F7" s="13"/>
      <c r="G7" s="13"/>
      <c r="S7" s="321" t="s">
        <v>32</v>
      </c>
      <c r="T7" s="322"/>
      <c r="U7" s="322"/>
      <c r="V7" s="322"/>
      <c r="W7" s="323"/>
      <c r="X7" s="324" t="s">
        <v>33</v>
      </c>
      <c r="Y7" s="325"/>
      <c r="Z7" s="325"/>
      <c r="AA7" s="325"/>
      <c r="AB7" s="325"/>
      <c r="AC7" s="325"/>
      <c r="AD7" s="325"/>
      <c r="AE7" s="325"/>
      <c r="AF7" s="325"/>
      <c r="AG7" s="325"/>
      <c r="AH7" s="325"/>
      <c r="AI7" s="326"/>
    </row>
    <row r="8" spans="1:40" ht="9.75" customHeight="1">
      <c r="A8" s="14"/>
      <c r="B8" s="14"/>
      <c r="C8" s="14"/>
      <c r="D8" s="14"/>
      <c r="E8" s="15"/>
      <c r="F8" s="16"/>
      <c r="G8" s="17"/>
      <c r="H8" s="17"/>
      <c r="I8" s="13"/>
      <c r="J8" s="13"/>
      <c r="K8" s="13"/>
      <c r="W8" s="18"/>
      <c r="X8" s="18"/>
      <c r="Y8" s="18"/>
      <c r="Z8" s="18"/>
      <c r="AA8" s="18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40">
      <c r="A9" s="14"/>
      <c r="B9" s="14"/>
      <c r="C9" s="14"/>
      <c r="D9" s="14"/>
      <c r="E9" s="15"/>
      <c r="F9" s="16"/>
      <c r="G9" s="17"/>
      <c r="H9" s="17"/>
      <c r="I9" s="13"/>
      <c r="J9" s="13"/>
      <c r="K9" s="13"/>
      <c r="W9" s="18"/>
      <c r="X9" s="18"/>
      <c r="Y9" s="18"/>
      <c r="Z9" s="18"/>
      <c r="AA9" s="18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40" ht="15.75" customHeight="1">
      <c r="A10" s="302" t="s">
        <v>34</v>
      </c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2"/>
      <c r="S10" s="302"/>
      <c r="T10" s="302"/>
      <c r="U10" s="302"/>
      <c r="V10" s="302"/>
      <c r="W10" s="302"/>
      <c r="X10" s="302"/>
      <c r="Y10" s="302"/>
      <c r="Z10" s="302"/>
      <c r="AA10" s="302"/>
      <c r="AB10" s="302"/>
      <c r="AC10" s="302"/>
      <c r="AD10" s="302"/>
      <c r="AE10" s="302"/>
      <c r="AF10" s="302"/>
      <c r="AG10" s="302"/>
      <c r="AH10" s="302"/>
      <c r="AI10" s="302"/>
      <c r="AJ10" s="302"/>
      <c r="AK10" s="20"/>
      <c r="AL10" s="20"/>
      <c r="AM10" s="20"/>
      <c r="AN10" s="20"/>
    </row>
    <row r="11" spans="1:40">
      <c r="A11" s="13"/>
      <c r="B11" s="13"/>
      <c r="C11" s="13"/>
      <c r="D11" s="13"/>
      <c r="E11" s="13"/>
      <c r="F11" s="16"/>
      <c r="G11" s="17"/>
      <c r="H11" s="17"/>
      <c r="I11" s="13"/>
      <c r="J11" s="13"/>
      <c r="K11" s="13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</row>
    <row r="12" spans="1:40" s="23" customFormat="1" ht="15.75" customHeight="1">
      <c r="A12" s="277"/>
      <c r="B12" s="277"/>
      <c r="C12" s="277"/>
      <c r="D12" s="277"/>
      <c r="E12" s="277"/>
      <c r="F12" s="277"/>
      <c r="G12" s="277"/>
      <c r="H12" s="277"/>
      <c r="I12" s="277"/>
      <c r="J12" s="299"/>
      <c r="K12" s="303"/>
      <c r="L12" s="303"/>
      <c r="M12" s="303"/>
      <c r="N12" s="303"/>
      <c r="O12" s="303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3"/>
      <c r="AC12" s="303"/>
      <c r="AD12" s="303"/>
      <c r="AE12" s="303"/>
      <c r="AF12" s="303"/>
      <c r="AG12" s="303"/>
      <c r="AH12" s="303"/>
      <c r="AI12" s="303"/>
      <c r="AJ12" s="304"/>
      <c r="AK12" s="305"/>
      <c r="AL12" s="305"/>
      <c r="AM12" s="305"/>
      <c r="AN12" s="305"/>
    </row>
    <row r="13" spans="1:40" s="23" customFormat="1" ht="15.75" customHeight="1">
      <c r="A13" s="277" t="s">
        <v>35</v>
      </c>
      <c r="B13" s="277"/>
      <c r="C13" s="277"/>
      <c r="D13" s="277"/>
      <c r="E13" s="277"/>
      <c r="F13" s="277"/>
      <c r="G13" s="277"/>
      <c r="H13" s="277"/>
      <c r="I13" s="277"/>
      <c r="J13" s="299"/>
      <c r="K13" s="303" t="str">
        <f>+X7</f>
        <v>BUTANE</v>
      </c>
      <c r="L13" s="303"/>
      <c r="M13" s="303"/>
      <c r="N13" s="303"/>
      <c r="O13" s="303"/>
      <c r="P13" s="303" t="str">
        <f>+K13</f>
        <v>BUTANE</v>
      </c>
      <c r="Q13" s="303"/>
      <c r="R13" s="303"/>
      <c r="S13" s="303"/>
      <c r="T13" s="303"/>
      <c r="U13" s="303" t="str">
        <f>+P13</f>
        <v>BUTANE</v>
      </c>
      <c r="V13" s="303"/>
      <c r="W13" s="303"/>
      <c r="X13" s="303"/>
      <c r="Y13" s="303"/>
      <c r="Z13" s="303" t="str">
        <f>+U13</f>
        <v>BUTANE</v>
      </c>
      <c r="AA13" s="303"/>
      <c r="AB13" s="303"/>
      <c r="AC13" s="303"/>
      <c r="AD13" s="303"/>
      <c r="AE13" s="303" t="str">
        <f>+Z13</f>
        <v>BUTANE</v>
      </c>
      <c r="AF13" s="303"/>
      <c r="AG13" s="303"/>
      <c r="AH13" s="303"/>
      <c r="AI13" s="303"/>
      <c r="AJ13" s="304"/>
      <c r="AK13" s="305"/>
      <c r="AL13" s="305"/>
      <c r="AM13" s="305"/>
      <c r="AN13" s="305"/>
    </row>
    <row r="14" spans="1:40" s="23" customFormat="1" ht="15.75" customHeight="1">
      <c r="A14" s="277" t="s">
        <v>31</v>
      </c>
      <c r="B14" s="277"/>
      <c r="C14" s="277"/>
      <c r="D14" s="277"/>
      <c r="E14" s="277"/>
      <c r="F14" s="277"/>
      <c r="G14" s="277"/>
      <c r="H14" s="277"/>
      <c r="I14" s="277"/>
      <c r="J14" s="299"/>
      <c r="K14" s="300">
        <v>45658</v>
      </c>
      <c r="L14" s="300"/>
      <c r="M14" s="300"/>
      <c r="N14" s="300"/>
      <c r="O14" s="300"/>
      <c r="P14" s="300">
        <f>+X6</f>
        <v>45658</v>
      </c>
      <c r="Q14" s="300"/>
      <c r="R14" s="300"/>
      <c r="S14" s="300"/>
      <c r="T14" s="300"/>
      <c r="U14" s="300">
        <f>+X6</f>
        <v>45658</v>
      </c>
      <c r="V14" s="300"/>
      <c r="W14" s="300"/>
      <c r="X14" s="300"/>
      <c r="Y14" s="300"/>
      <c r="Z14" s="300">
        <f>+X6</f>
        <v>45658</v>
      </c>
      <c r="AA14" s="300"/>
      <c r="AB14" s="300"/>
      <c r="AC14" s="300"/>
      <c r="AD14" s="300"/>
      <c r="AE14" s="301"/>
      <c r="AF14" s="301"/>
      <c r="AG14" s="301"/>
      <c r="AH14" s="301"/>
      <c r="AI14" s="301"/>
      <c r="AJ14" s="293"/>
      <c r="AK14" s="294"/>
      <c r="AL14" s="294"/>
      <c r="AM14" s="294"/>
      <c r="AN14" s="294"/>
    </row>
    <row r="15" spans="1:40" s="23" customFormat="1" ht="15.75" customHeight="1">
      <c r="A15" s="277" t="s">
        <v>36</v>
      </c>
      <c r="B15" s="278"/>
      <c r="C15" s="278"/>
      <c r="D15" s="278"/>
      <c r="E15" s="278"/>
      <c r="F15" s="278"/>
      <c r="G15" s="278"/>
      <c r="H15" s="278"/>
      <c r="I15" s="278"/>
      <c r="J15" s="279"/>
      <c r="K15" s="295">
        <v>0.33333333333333331</v>
      </c>
      <c r="L15" s="295"/>
      <c r="M15" s="295"/>
      <c r="N15" s="295"/>
      <c r="O15" s="295"/>
      <c r="P15" s="295">
        <v>0.33680555555555558</v>
      </c>
      <c r="Q15" s="295"/>
      <c r="R15" s="295"/>
      <c r="S15" s="295"/>
      <c r="T15" s="295"/>
      <c r="U15" s="295">
        <v>0.34027777777777773</v>
      </c>
      <c r="V15" s="295"/>
      <c r="W15" s="295"/>
      <c r="X15" s="295"/>
      <c r="Y15" s="295"/>
      <c r="Z15" s="295">
        <v>0.34375</v>
      </c>
      <c r="AA15" s="295"/>
      <c r="AB15" s="295"/>
      <c r="AC15" s="295"/>
      <c r="AD15" s="295"/>
      <c r="AE15" s="296"/>
      <c r="AF15" s="296"/>
      <c r="AG15" s="296"/>
      <c r="AH15" s="296"/>
      <c r="AI15" s="296"/>
      <c r="AJ15" s="297"/>
      <c r="AK15" s="298"/>
      <c r="AL15" s="298"/>
      <c r="AM15" s="298"/>
      <c r="AN15" s="298"/>
    </row>
    <row r="16" spans="1:40" s="23" customFormat="1" ht="15.75" customHeight="1">
      <c r="A16" s="277" t="s">
        <v>37</v>
      </c>
      <c r="B16" s="278"/>
      <c r="C16" s="278"/>
      <c r="D16" s="278"/>
      <c r="E16" s="278"/>
      <c r="F16" s="278"/>
      <c r="G16" s="278"/>
      <c r="H16" s="278"/>
      <c r="I16" s="278"/>
      <c r="J16" s="279"/>
      <c r="K16" s="285">
        <f>+Jauge!$D$8</f>
        <v>1929</v>
      </c>
      <c r="L16" s="285"/>
      <c r="M16" s="285"/>
      <c r="N16" s="285"/>
      <c r="O16" s="285"/>
      <c r="P16" s="285">
        <f>+Jauge!$D$9</f>
        <v>1918</v>
      </c>
      <c r="Q16" s="285"/>
      <c r="R16" s="285"/>
      <c r="S16" s="285"/>
      <c r="T16" s="285"/>
      <c r="U16" s="285">
        <f>+Jauge!$D$10</f>
        <v>1911</v>
      </c>
      <c r="V16" s="285"/>
      <c r="W16" s="285"/>
      <c r="X16" s="285"/>
      <c r="Y16" s="285"/>
      <c r="Z16" s="285">
        <f>+Jauge!$D$11</f>
        <v>1916</v>
      </c>
      <c r="AA16" s="285"/>
      <c r="AB16" s="285"/>
      <c r="AC16" s="285"/>
      <c r="AD16" s="285"/>
      <c r="AE16" s="286" t="s">
        <v>38</v>
      </c>
      <c r="AF16" s="287"/>
      <c r="AG16" s="287"/>
      <c r="AH16" s="287"/>
      <c r="AI16" s="288"/>
      <c r="AJ16" s="247"/>
      <c r="AK16" s="259"/>
      <c r="AL16" s="259"/>
      <c r="AM16" s="259"/>
      <c r="AN16" s="259"/>
    </row>
    <row r="17" spans="1:40" s="23" customFormat="1" ht="15.75" customHeight="1">
      <c r="A17" s="277" t="s">
        <v>39</v>
      </c>
      <c r="B17" s="278"/>
      <c r="C17" s="278"/>
      <c r="D17" s="278"/>
      <c r="E17" s="278"/>
      <c r="F17" s="278"/>
      <c r="G17" s="278"/>
      <c r="H17" s="278"/>
      <c r="I17" s="278"/>
      <c r="J17" s="279"/>
      <c r="K17" s="254">
        <f>+K16</f>
        <v>1929</v>
      </c>
      <c r="L17" s="254"/>
      <c r="M17" s="254"/>
      <c r="N17" s="254"/>
      <c r="O17" s="254"/>
      <c r="P17" s="254">
        <f>+P16</f>
        <v>1918</v>
      </c>
      <c r="Q17" s="254"/>
      <c r="R17" s="254"/>
      <c r="S17" s="254"/>
      <c r="T17" s="254"/>
      <c r="U17" s="254">
        <f>+U16</f>
        <v>1911</v>
      </c>
      <c r="V17" s="254"/>
      <c r="W17" s="254"/>
      <c r="X17" s="254"/>
      <c r="Y17" s="254"/>
      <c r="Z17" s="254">
        <f>+Z16</f>
        <v>1916</v>
      </c>
      <c r="AA17" s="254"/>
      <c r="AB17" s="254"/>
      <c r="AC17" s="254"/>
      <c r="AD17" s="254"/>
      <c r="AE17" s="289"/>
      <c r="AF17" s="290"/>
      <c r="AG17" s="290"/>
      <c r="AH17" s="290"/>
      <c r="AI17" s="291"/>
      <c r="AJ17" s="247"/>
      <c r="AK17" s="259"/>
      <c r="AL17" s="259"/>
      <c r="AM17" s="259"/>
      <c r="AN17" s="259"/>
    </row>
    <row r="18" spans="1:40" s="23" customFormat="1" ht="15.75" customHeight="1">
      <c r="A18" s="277" t="s">
        <v>40</v>
      </c>
      <c r="B18" s="278"/>
      <c r="C18" s="278"/>
      <c r="D18" s="278"/>
      <c r="E18" s="278"/>
      <c r="F18" s="278"/>
      <c r="G18" s="278"/>
      <c r="H18" s="278"/>
      <c r="I18" s="278"/>
      <c r="J18" s="279"/>
      <c r="K18" s="292">
        <f>+Jauge!E8</f>
        <v>27</v>
      </c>
      <c r="L18" s="292"/>
      <c r="M18" s="292"/>
      <c r="N18" s="292"/>
      <c r="O18" s="292"/>
      <c r="P18" s="292">
        <f>+Jauge!E9</f>
        <v>28</v>
      </c>
      <c r="Q18" s="292"/>
      <c r="R18" s="292"/>
      <c r="S18" s="292"/>
      <c r="T18" s="292"/>
      <c r="U18" s="292">
        <f>+Jauge!E10</f>
        <v>26.5</v>
      </c>
      <c r="V18" s="292"/>
      <c r="W18" s="292"/>
      <c r="X18" s="292"/>
      <c r="Y18" s="292"/>
      <c r="Z18" s="292">
        <f>+Jauge!E11</f>
        <v>27.5</v>
      </c>
      <c r="AA18" s="292"/>
      <c r="AB18" s="292"/>
      <c r="AC18" s="292"/>
      <c r="AD18" s="292"/>
      <c r="AE18" s="289"/>
      <c r="AF18" s="290"/>
      <c r="AG18" s="290"/>
      <c r="AH18" s="290"/>
      <c r="AI18" s="291"/>
      <c r="AJ18" s="264"/>
      <c r="AK18" s="265"/>
      <c r="AL18" s="265"/>
      <c r="AM18" s="265"/>
      <c r="AN18" s="265"/>
    </row>
    <row r="19" spans="1:40" s="23" customFormat="1" ht="15.75" customHeight="1">
      <c r="A19" s="277" t="s">
        <v>41</v>
      </c>
      <c r="B19" s="278"/>
      <c r="C19" s="278"/>
      <c r="D19" s="278"/>
      <c r="E19" s="278"/>
      <c r="F19" s="278"/>
      <c r="G19" s="278"/>
      <c r="H19" s="278"/>
      <c r="I19" s="278"/>
      <c r="J19" s="279"/>
      <c r="K19" s="272">
        <f>+K18</f>
        <v>27</v>
      </c>
      <c r="L19" s="272"/>
      <c r="M19" s="272"/>
      <c r="N19" s="272"/>
      <c r="O19" s="272"/>
      <c r="P19" s="272">
        <f>+P18</f>
        <v>28</v>
      </c>
      <c r="Q19" s="272"/>
      <c r="R19" s="272"/>
      <c r="S19" s="272"/>
      <c r="T19" s="272"/>
      <c r="U19" s="272">
        <f>+U18</f>
        <v>26.5</v>
      </c>
      <c r="V19" s="272"/>
      <c r="W19" s="272"/>
      <c r="X19" s="272"/>
      <c r="Y19" s="272"/>
      <c r="Z19" s="272">
        <f>+Z18</f>
        <v>27.5</v>
      </c>
      <c r="AA19" s="272"/>
      <c r="AB19" s="272"/>
      <c r="AC19" s="272"/>
      <c r="AD19" s="272"/>
      <c r="AE19" s="289"/>
      <c r="AF19" s="290"/>
      <c r="AG19" s="290"/>
      <c r="AH19" s="290"/>
      <c r="AI19" s="291"/>
      <c r="AJ19" s="264"/>
      <c r="AK19" s="265"/>
      <c r="AL19" s="265"/>
      <c r="AM19" s="265"/>
      <c r="AN19" s="265"/>
    </row>
    <row r="20" spans="1:40" s="23" customFormat="1" ht="15.75" customHeight="1">
      <c r="A20" s="277" t="s">
        <v>42</v>
      </c>
      <c r="B20" s="278"/>
      <c r="C20" s="278"/>
      <c r="D20" s="278"/>
      <c r="E20" s="278"/>
      <c r="F20" s="278"/>
      <c r="G20" s="278"/>
      <c r="H20" s="278"/>
      <c r="I20" s="278"/>
      <c r="J20" s="279"/>
      <c r="K20" s="284"/>
      <c r="L20" s="284"/>
      <c r="M20" s="284"/>
      <c r="N20" s="284"/>
      <c r="O20" s="284"/>
      <c r="P20" s="269"/>
      <c r="Q20" s="270"/>
      <c r="R20" s="270"/>
      <c r="S20" s="270"/>
      <c r="T20" s="271"/>
      <c r="U20" s="284"/>
      <c r="V20" s="284"/>
      <c r="W20" s="284"/>
      <c r="X20" s="284"/>
      <c r="Y20" s="284"/>
      <c r="Z20" s="284"/>
      <c r="AA20" s="284"/>
      <c r="AB20" s="284"/>
      <c r="AC20" s="284"/>
      <c r="AD20" s="284"/>
      <c r="AE20" s="289"/>
      <c r="AF20" s="290"/>
      <c r="AG20" s="290"/>
      <c r="AH20" s="290"/>
      <c r="AI20" s="291"/>
      <c r="AJ20" s="247"/>
      <c r="AK20" s="259"/>
      <c r="AL20" s="259"/>
      <c r="AM20" s="259"/>
      <c r="AN20" s="259"/>
    </row>
    <row r="21" spans="1:40" s="23" customFormat="1" ht="15.75" customHeight="1">
      <c r="A21" s="277" t="s">
        <v>43</v>
      </c>
      <c r="B21" s="278"/>
      <c r="C21" s="278"/>
      <c r="D21" s="278"/>
      <c r="E21" s="278"/>
      <c r="F21" s="278"/>
      <c r="G21" s="278"/>
      <c r="H21" s="278"/>
      <c r="I21" s="278"/>
      <c r="J21" s="279"/>
      <c r="K21" s="255">
        <v>1</v>
      </c>
      <c r="L21" s="255"/>
      <c r="M21" s="255"/>
      <c r="N21" s="255"/>
      <c r="O21" s="255"/>
      <c r="P21" s="255">
        <v>1</v>
      </c>
      <c r="Q21" s="255"/>
      <c r="R21" s="255"/>
      <c r="S21" s="255"/>
      <c r="T21" s="255"/>
      <c r="U21" s="255">
        <v>1</v>
      </c>
      <c r="V21" s="255"/>
      <c r="W21" s="255"/>
      <c r="X21" s="255"/>
      <c r="Y21" s="255"/>
      <c r="Z21" s="255">
        <v>1</v>
      </c>
      <c r="AA21" s="255"/>
      <c r="AB21" s="255"/>
      <c r="AC21" s="255"/>
      <c r="AD21" s="255"/>
      <c r="AE21" s="289"/>
      <c r="AF21" s="290"/>
      <c r="AG21" s="290"/>
      <c r="AH21" s="290"/>
      <c r="AI21" s="291"/>
      <c r="AJ21" s="281"/>
      <c r="AK21" s="248"/>
      <c r="AL21" s="248"/>
      <c r="AM21" s="248"/>
      <c r="AN21" s="248"/>
    </row>
    <row r="22" spans="1:40" s="23" customFormat="1" ht="15.75" customHeight="1">
      <c r="A22" s="277" t="s">
        <v>44</v>
      </c>
      <c r="B22" s="278"/>
      <c r="C22" s="278"/>
      <c r="D22" s="278"/>
      <c r="E22" s="278"/>
      <c r="F22" s="278"/>
      <c r="G22" s="278"/>
      <c r="H22" s="278"/>
      <c r="I22" s="278"/>
      <c r="J22" s="279"/>
      <c r="K22" s="254">
        <f>+K20</f>
        <v>0</v>
      </c>
      <c r="L22" s="254"/>
      <c r="M22" s="254"/>
      <c r="N22" s="254"/>
      <c r="O22" s="254"/>
      <c r="P22" s="254">
        <f>+P20</f>
        <v>0</v>
      </c>
      <c r="Q22" s="254"/>
      <c r="R22" s="254"/>
      <c r="S22" s="254"/>
      <c r="T22" s="254"/>
      <c r="U22" s="254">
        <f>+U20</f>
        <v>0</v>
      </c>
      <c r="V22" s="254"/>
      <c r="W22" s="254"/>
      <c r="X22" s="254"/>
      <c r="Y22" s="254"/>
      <c r="Z22" s="254">
        <f>+Z20</f>
        <v>0</v>
      </c>
      <c r="AA22" s="254"/>
      <c r="AB22" s="254"/>
      <c r="AC22" s="254"/>
      <c r="AD22" s="254"/>
      <c r="AE22" s="289"/>
      <c r="AF22" s="290"/>
      <c r="AG22" s="290"/>
      <c r="AH22" s="290"/>
      <c r="AI22" s="291"/>
      <c r="AJ22" s="247"/>
      <c r="AK22" s="259"/>
      <c r="AL22" s="259"/>
      <c r="AM22" s="259"/>
      <c r="AN22" s="259"/>
    </row>
    <row r="23" spans="1:40" s="23" customFormat="1" ht="15.75" customHeight="1">
      <c r="A23" s="277" t="s">
        <v>45</v>
      </c>
      <c r="B23" s="278"/>
      <c r="C23" s="278"/>
      <c r="D23" s="278"/>
      <c r="E23" s="278"/>
      <c r="F23" s="278"/>
      <c r="G23" s="278"/>
      <c r="H23" s="278"/>
      <c r="I23" s="278"/>
      <c r="J23" s="279"/>
      <c r="K23" s="255">
        <v>0.57199999999999995</v>
      </c>
      <c r="L23" s="255"/>
      <c r="M23" s="255"/>
      <c r="N23" s="255"/>
      <c r="O23" s="255"/>
      <c r="P23" s="255">
        <v>0.57199999999999995</v>
      </c>
      <c r="Q23" s="255"/>
      <c r="R23" s="255"/>
      <c r="S23" s="255"/>
      <c r="T23" s="255"/>
      <c r="U23" s="255">
        <v>0.57199999999999995</v>
      </c>
      <c r="V23" s="255"/>
      <c r="W23" s="255"/>
      <c r="X23" s="255"/>
      <c r="Y23" s="255"/>
      <c r="Z23" s="255">
        <v>0.57199999999999995</v>
      </c>
      <c r="AA23" s="255"/>
      <c r="AB23" s="255"/>
      <c r="AC23" s="255"/>
      <c r="AD23" s="255"/>
      <c r="AE23" s="289"/>
      <c r="AF23" s="290"/>
      <c r="AG23" s="290"/>
      <c r="AH23" s="290"/>
      <c r="AI23" s="291"/>
      <c r="AJ23" s="281"/>
      <c r="AK23" s="248"/>
      <c r="AL23" s="248"/>
      <c r="AM23" s="248"/>
      <c r="AN23" s="248"/>
    </row>
    <row r="24" spans="1:40" s="23" customFormat="1" ht="15.75" customHeight="1">
      <c r="A24" s="277" t="s">
        <v>46</v>
      </c>
      <c r="B24" s="278"/>
      <c r="C24" s="278"/>
      <c r="D24" s="278"/>
      <c r="E24" s="278"/>
      <c r="F24" s="278"/>
      <c r="G24" s="278"/>
      <c r="H24" s="278"/>
      <c r="I24" s="278"/>
      <c r="J24" s="279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289"/>
      <c r="AF24" s="290"/>
      <c r="AG24" s="290"/>
      <c r="AH24" s="290"/>
      <c r="AI24" s="291"/>
      <c r="AJ24" s="282"/>
      <c r="AK24" s="283"/>
      <c r="AL24" s="283"/>
      <c r="AM24" s="283"/>
      <c r="AN24" s="283"/>
    </row>
    <row r="25" spans="1:40" s="23" customFormat="1" ht="15.75" customHeight="1">
      <c r="A25" s="277" t="s">
        <v>47</v>
      </c>
      <c r="B25" s="278"/>
      <c r="C25" s="278"/>
      <c r="D25" s="278"/>
      <c r="E25" s="278"/>
      <c r="F25" s="278"/>
      <c r="G25" s="278"/>
      <c r="H25" s="278"/>
      <c r="I25" s="278"/>
      <c r="J25" s="279"/>
      <c r="K25" s="280">
        <f>+ROUND((15-K18)*1.16/1000+K23,4)</f>
        <v>0.55810000000000004</v>
      </c>
      <c r="L25" s="280"/>
      <c r="M25" s="280"/>
      <c r="N25" s="280"/>
      <c r="O25" s="280"/>
      <c r="P25" s="280">
        <f>+ROUND((15-P18)*1.16/1000+P23,4)</f>
        <v>0.55689999999999995</v>
      </c>
      <c r="Q25" s="280"/>
      <c r="R25" s="280"/>
      <c r="S25" s="280"/>
      <c r="T25" s="280"/>
      <c r="U25" s="280">
        <f>+ROUND((15-U18)*1.16/1000+U23,4)</f>
        <v>0.55869999999999997</v>
      </c>
      <c r="V25" s="280"/>
      <c r="W25" s="280"/>
      <c r="X25" s="280"/>
      <c r="Y25" s="280"/>
      <c r="Z25" s="280">
        <f>+ROUND((15-Z18)*1.16/1000+Z23,4)</f>
        <v>0.5575</v>
      </c>
      <c r="AA25" s="280"/>
      <c r="AB25" s="280"/>
      <c r="AC25" s="280"/>
      <c r="AD25" s="280"/>
      <c r="AE25" s="289"/>
      <c r="AF25" s="290"/>
      <c r="AG25" s="290"/>
      <c r="AH25" s="290"/>
      <c r="AI25" s="291"/>
      <c r="AJ25" s="281"/>
      <c r="AK25" s="248"/>
      <c r="AL25" s="248"/>
      <c r="AM25" s="248"/>
      <c r="AN25" s="248"/>
    </row>
    <row r="26" spans="1:40" s="23" customFormat="1" ht="15.75" customHeight="1">
      <c r="A26" s="273" t="s">
        <v>48</v>
      </c>
      <c r="B26" s="274"/>
      <c r="C26" s="274"/>
      <c r="D26" s="274"/>
      <c r="E26" s="274"/>
      <c r="F26" s="274"/>
      <c r="G26" s="274"/>
      <c r="H26" s="274"/>
      <c r="I26" s="274"/>
      <c r="J26" s="275"/>
      <c r="K26" s="254">
        <f>ROUND(K22*K25,0)</f>
        <v>0</v>
      </c>
      <c r="L26" s="254"/>
      <c r="M26" s="254"/>
      <c r="N26" s="254"/>
      <c r="O26" s="254"/>
      <c r="P26" s="254">
        <f>ROUND(P22*P25,0)</f>
        <v>0</v>
      </c>
      <c r="Q26" s="254"/>
      <c r="R26" s="254"/>
      <c r="S26" s="254"/>
      <c r="T26" s="254"/>
      <c r="U26" s="254">
        <f>ROUND(U22*U25,0)</f>
        <v>0</v>
      </c>
      <c r="V26" s="254"/>
      <c r="W26" s="254"/>
      <c r="X26" s="254"/>
      <c r="Y26" s="254"/>
      <c r="Z26" s="254">
        <f>ROUND(Z22*Z25,0)</f>
        <v>0</v>
      </c>
      <c r="AA26" s="254"/>
      <c r="AB26" s="254"/>
      <c r="AC26" s="254"/>
      <c r="AD26" s="254"/>
      <c r="AE26" s="276"/>
      <c r="AF26" s="276"/>
      <c r="AG26" s="276"/>
      <c r="AH26" s="276"/>
      <c r="AI26" s="276"/>
      <c r="AJ26" s="247"/>
      <c r="AK26" s="259"/>
      <c r="AL26" s="259"/>
      <c r="AM26" s="259"/>
      <c r="AN26" s="259"/>
    </row>
    <row r="27" spans="1:40" s="23" customFormat="1" ht="15.75" customHeight="1">
      <c r="A27" s="25"/>
      <c r="B27" s="25"/>
      <c r="C27" s="25"/>
      <c r="D27" s="25"/>
      <c r="E27" s="25"/>
      <c r="F27" s="26"/>
      <c r="G27" s="25"/>
      <c r="H27" s="25"/>
      <c r="I27" s="25"/>
      <c r="J27" s="25"/>
      <c r="K27" s="27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9"/>
      <c r="AK27" s="29"/>
      <c r="AL27" s="29"/>
      <c r="AM27" s="29"/>
      <c r="AN27" s="29"/>
    </row>
    <row r="28" spans="1:40" s="23" customFormat="1" ht="15.75" customHeight="1">
      <c r="A28" s="260" t="s">
        <v>49</v>
      </c>
      <c r="B28" s="261"/>
      <c r="C28" s="261"/>
      <c r="D28" s="261"/>
      <c r="E28" s="261"/>
      <c r="F28" s="261"/>
      <c r="G28" s="261"/>
      <c r="H28" s="261"/>
      <c r="I28" s="261"/>
      <c r="J28" s="262"/>
      <c r="K28" s="254">
        <v>150046</v>
      </c>
      <c r="L28" s="254"/>
      <c r="M28" s="254"/>
      <c r="N28" s="254"/>
      <c r="O28" s="254"/>
      <c r="P28" s="254">
        <v>150046</v>
      </c>
      <c r="Q28" s="254"/>
      <c r="R28" s="254"/>
      <c r="S28" s="254"/>
      <c r="T28" s="254"/>
      <c r="U28" s="254">
        <v>150046</v>
      </c>
      <c r="V28" s="254"/>
      <c r="W28" s="254"/>
      <c r="X28" s="254"/>
      <c r="Y28" s="254"/>
      <c r="Z28" s="254">
        <v>150046</v>
      </c>
      <c r="AA28" s="254"/>
      <c r="AB28" s="254"/>
      <c r="AC28" s="254"/>
      <c r="AD28" s="254"/>
      <c r="AE28" s="254"/>
      <c r="AF28" s="254"/>
      <c r="AG28" s="254"/>
      <c r="AH28" s="254"/>
      <c r="AI28" s="254"/>
      <c r="AJ28" s="247"/>
      <c r="AK28" s="259"/>
      <c r="AL28" s="259"/>
      <c r="AM28" s="259"/>
      <c r="AN28" s="259"/>
    </row>
    <row r="29" spans="1:40" s="23" customFormat="1" ht="15.75" customHeight="1">
      <c r="A29" s="260" t="s">
        <v>50</v>
      </c>
      <c r="B29" s="261"/>
      <c r="C29" s="261"/>
      <c r="D29" s="261"/>
      <c r="E29" s="261"/>
      <c r="F29" s="261"/>
      <c r="G29" s="261"/>
      <c r="H29" s="261"/>
      <c r="I29" s="261"/>
      <c r="J29" s="262"/>
      <c r="K29" s="254">
        <f>+K20</f>
        <v>0</v>
      </c>
      <c r="L29" s="254"/>
      <c r="M29" s="254"/>
      <c r="N29" s="254"/>
      <c r="O29" s="254"/>
      <c r="P29" s="254">
        <f>+P20</f>
        <v>0</v>
      </c>
      <c r="Q29" s="254"/>
      <c r="R29" s="254"/>
      <c r="S29" s="254"/>
      <c r="T29" s="254"/>
      <c r="U29" s="254">
        <f>+U20</f>
        <v>0</v>
      </c>
      <c r="V29" s="254"/>
      <c r="W29" s="254"/>
      <c r="X29" s="254"/>
      <c r="Y29" s="254"/>
      <c r="Z29" s="254">
        <f>+Z20</f>
        <v>0</v>
      </c>
      <c r="AA29" s="254"/>
      <c r="AB29" s="254"/>
      <c r="AC29" s="254"/>
      <c r="AD29" s="254"/>
      <c r="AE29" s="254"/>
      <c r="AF29" s="254"/>
      <c r="AG29" s="254"/>
      <c r="AH29" s="254"/>
      <c r="AI29" s="254"/>
      <c r="AJ29" s="247"/>
      <c r="AK29" s="259"/>
      <c r="AL29" s="259"/>
      <c r="AM29" s="259"/>
      <c r="AN29" s="259"/>
    </row>
    <row r="30" spans="1:40" s="23" customFormat="1" ht="15.75" customHeight="1">
      <c r="A30" s="260" t="s">
        <v>51</v>
      </c>
      <c r="B30" s="261"/>
      <c r="C30" s="261"/>
      <c r="D30" s="261"/>
      <c r="E30" s="261"/>
      <c r="F30" s="261"/>
      <c r="G30" s="261"/>
      <c r="H30" s="261"/>
      <c r="I30" s="261"/>
      <c r="J30" s="262"/>
      <c r="K30" s="254">
        <f>+K28-K29</f>
        <v>150046</v>
      </c>
      <c r="L30" s="254"/>
      <c r="M30" s="254"/>
      <c r="N30" s="254"/>
      <c r="O30" s="254"/>
      <c r="P30" s="254">
        <f>P28-P29</f>
        <v>150046</v>
      </c>
      <c r="Q30" s="254"/>
      <c r="R30" s="254"/>
      <c r="S30" s="254"/>
      <c r="T30" s="254"/>
      <c r="U30" s="254">
        <f>U28-U29</f>
        <v>150046</v>
      </c>
      <c r="V30" s="254"/>
      <c r="W30" s="254"/>
      <c r="X30" s="254"/>
      <c r="Y30" s="254"/>
      <c r="Z30" s="254">
        <f>Z28-Z29</f>
        <v>150046</v>
      </c>
      <c r="AA30" s="254"/>
      <c r="AB30" s="254"/>
      <c r="AC30" s="254"/>
      <c r="AD30" s="254"/>
      <c r="AE30" s="254"/>
      <c r="AF30" s="254"/>
      <c r="AG30" s="254"/>
      <c r="AH30" s="254"/>
      <c r="AI30" s="254"/>
      <c r="AJ30" s="247"/>
      <c r="AK30" s="259"/>
      <c r="AL30" s="259"/>
      <c r="AM30" s="259"/>
      <c r="AN30" s="259"/>
    </row>
    <row r="31" spans="1:40" s="23" customFormat="1" ht="15.75" customHeight="1">
      <c r="A31" s="260" t="s">
        <v>43</v>
      </c>
      <c r="B31" s="261"/>
      <c r="C31" s="261"/>
      <c r="D31" s="261"/>
      <c r="E31" s="261"/>
      <c r="F31" s="261"/>
      <c r="G31" s="261"/>
      <c r="H31" s="261"/>
      <c r="I31" s="261"/>
      <c r="J31" s="262"/>
      <c r="K31" s="263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56"/>
      <c r="AK31" s="257"/>
      <c r="AL31" s="257"/>
      <c r="AM31" s="257"/>
      <c r="AN31" s="257"/>
    </row>
    <row r="32" spans="1:40" s="23" customFormat="1" ht="15.75" customHeight="1">
      <c r="A32" s="260" t="s">
        <v>44</v>
      </c>
      <c r="B32" s="261"/>
      <c r="C32" s="261"/>
      <c r="D32" s="261"/>
      <c r="E32" s="261"/>
      <c r="F32" s="261"/>
      <c r="G32" s="261"/>
      <c r="H32" s="261"/>
      <c r="I32" s="261"/>
      <c r="J32" s="262"/>
      <c r="K32" s="254">
        <f>K30</f>
        <v>150046</v>
      </c>
      <c r="L32" s="254"/>
      <c r="M32" s="254"/>
      <c r="N32" s="254"/>
      <c r="O32" s="254"/>
      <c r="P32" s="254">
        <f>P30</f>
        <v>150046</v>
      </c>
      <c r="Q32" s="254"/>
      <c r="R32" s="254"/>
      <c r="S32" s="254"/>
      <c r="T32" s="254"/>
      <c r="U32" s="254">
        <f>U30</f>
        <v>150046</v>
      </c>
      <c r="V32" s="254"/>
      <c r="W32" s="254"/>
      <c r="X32" s="254"/>
      <c r="Y32" s="254"/>
      <c r="Z32" s="254">
        <f>Z30</f>
        <v>150046</v>
      </c>
      <c r="AA32" s="254"/>
      <c r="AB32" s="254"/>
      <c r="AC32" s="254"/>
      <c r="AD32" s="254"/>
      <c r="AE32" s="254"/>
      <c r="AF32" s="254"/>
      <c r="AG32" s="254"/>
      <c r="AH32" s="254"/>
      <c r="AI32" s="254"/>
      <c r="AJ32" s="247"/>
      <c r="AK32" s="259"/>
      <c r="AL32" s="259"/>
      <c r="AM32" s="259"/>
      <c r="AN32" s="259"/>
    </row>
    <row r="33" spans="1:41" s="23" customFormat="1" ht="15.75" customHeight="1">
      <c r="A33" s="260" t="s">
        <v>52</v>
      </c>
      <c r="B33" s="261"/>
      <c r="C33" s="261"/>
      <c r="D33" s="261"/>
      <c r="E33" s="261"/>
      <c r="F33" s="261"/>
      <c r="G33" s="261"/>
      <c r="H33" s="261"/>
      <c r="I33" s="261"/>
      <c r="J33" s="262"/>
      <c r="K33" s="269">
        <f>+Jauge!F8</f>
        <v>2.4</v>
      </c>
      <c r="L33" s="270"/>
      <c r="M33" s="270"/>
      <c r="N33" s="270"/>
      <c r="O33" s="271"/>
      <c r="P33" s="269">
        <f>+Jauge!F9</f>
        <v>2.5</v>
      </c>
      <c r="Q33" s="270"/>
      <c r="R33" s="270"/>
      <c r="S33" s="270"/>
      <c r="T33" s="271"/>
      <c r="U33" s="269">
        <f>+Jauge!F10</f>
        <v>2.5</v>
      </c>
      <c r="V33" s="270"/>
      <c r="W33" s="270"/>
      <c r="X33" s="270"/>
      <c r="Y33" s="271"/>
      <c r="Z33" s="269">
        <f>+Jauge!F11</f>
        <v>2.4</v>
      </c>
      <c r="AA33" s="270"/>
      <c r="AB33" s="270"/>
      <c r="AC33" s="270"/>
      <c r="AD33" s="271"/>
      <c r="AE33" s="272"/>
      <c r="AF33" s="272"/>
      <c r="AG33" s="272"/>
      <c r="AH33" s="272"/>
      <c r="AI33" s="272"/>
      <c r="AJ33" s="264"/>
      <c r="AK33" s="265"/>
      <c r="AL33" s="265"/>
      <c r="AM33" s="265"/>
      <c r="AN33" s="265"/>
    </row>
    <row r="34" spans="1:41" s="23" customFormat="1" ht="15.75" customHeight="1">
      <c r="A34" s="260" t="s">
        <v>53</v>
      </c>
      <c r="B34" s="261"/>
      <c r="C34" s="261"/>
      <c r="D34" s="261"/>
      <c r="E34" s="261"/>
      <c r="F34" s="261"/>
      <c r="G34" s="261"/>
      <c r="H34" s="261"/>
      <c r="I34" s="261"/>
      <c r="J34" s="262"/>
      <c r="K34" s="266">
        <f>+ROUND(12.024*(K33+1.013)/(K19+273),4)</f>
        <v>0.1368</v>
      </c>
      <c r="L34" s="266"/>
      <c r="M34" s="266"/>
      <c r="N34" s="266"/>
      <c r="O34" s="266"/>
      <c r="P34" s="266">
        <f>+ROUND(12.024*(P33+1.013)/(P19+273),4)</f>
        <v>0.14030000000000001</v>
      </c>
      <c r="Q34" s="266"/>
      <c r="R34" s="266"/>
      <c r="S34" s="266"/>
      <c r="T34" s="266"/>
      <c r="U34" s="266">
        <f>+ROUND(12.024*(U33+1.013)/(U19+273),4)</f>
        <v>0.14099999999999999</v>
      </c>
      <c r="V34" s="266"/>
      <c r="W34" s="266"/>
      <c r="X34" s="266"/>
      <c r="Y34" s="266"/>
      <c r="Z34" s="266">
        <f>+ROUND(12.024*(Z33+1.013)/(Z19+273),4)</f>
        <v>0.1366</v>
      </c>
      <c r="AA34" s="266"/>
      <c r="AB34" s="266"/>
      <c r="AC34" s="266"/>
      <c r="AD34" s="266"/>
      <c r="AE34" s="266"/>
      <c r="AF34" s="266"/>
      <c r="AG34" s="266"/>
      <c r="AH34" s="266"/>
      <c r="AI34" s="266"/>
      <c r="AJ34" s="267"/>
      <c r="AK34" s="268"/>
      <c r="AL34" s="268"/>
      <c r="AM34" s="268"/>
      <c r="AN34" s="268"/>
    </row>
    <row r="35" spans="1:41" s="23" customFormat="1" ht="15.75" customHeight="1">
      <c r="A35" s="260" t="s">
        <v>54</v>
      </c>
      <c r="B35" s="261"/>
      <c r="C35" s="261"/>
      <c r="D35" s="261"/>
      <c r="E35" s="261"/>
      <c r="F35" s="261"/>
      <c r="G35" s="261"/>
      <c r="H35" s="261"/>
      <c r="I35" s="261"/>
      <c r="J35" s="262"/>
      <c r="K35" s="263">
        <f>ROUND(+IF($X7="BUTANE",58.12,IF($X7="PROPANE",44,28.054))*K34/1000,5)</f>
        <v>7.9500000000000005E-3</v>
      </c>
      <c r="L35" s="263"/>
      <c r="M35" s="263"/>
      <c r="N35" s="263"/>
      <c r="O35" s="263"/>
      <c r="P35" s="263">
        <f>ROUND(+IF($X7="BUTANE",58.12,IF($X7="PROPANE",44,28.054))*P34/1000,5)</f>
        <v>8.1499999999999993E-3</v>
      </c>
      <c r="Q35" s="263"/>
      <c r="R35" s="263"/>
      <c r="S35" s="263"/>
      <c r="T35" s="263"/>
      <c r="U35" s="263">
        <f>ROUND(+IF($X7="BUTANE",58.12,IF($X7="PROPANE",44,28.054))*U34/1000,5)</f>
        <v>8.1899999999999994E-3</v>
      </c>
      <c r="V35" s="263"/>
      <c r="W35" s="263"/>
      <c r="X35" s="263"/>
      <c r="Y35" s="263"/>
      <c r="Z35" s="263">
        <f>ROUND(+IF($X7="BUTANE",58.12,IF($X7="PROPANE",44,28.054))*Z34/1000,5)</f>
        <v>7.9399999999999991E-3</v>
      </c>
      <c r="AA35" s="263"/>
      <c r="AB35" s="263"/>
      <c r="AC35" s="263"/>
      <c r="AD35" s="263"/>
      <c r="AE35" s="263"/>
      <c r="AF35" s="263"/>
      <c r="AG35" s="263"/>
      <c r="AH35" s="263"/>
      <c r="AI35" s="263"/>
      <c r="AJ35" s="256"/>
      <c r="AK35" s="257"/>
      <c r="AL35" s="257"/>
      <c r="AM35" s="257"/>
      <c r="AN35" s="257"/>
    </row>
    <row r="36" spans="1:41" s="23" customFormat="1" ht="15.75" customHeight="1">
      <c r="A36" s="239" t="s">
        <v>55</v>
      </c>
      <c r="B36" s="253"/>
      <c r="C36" s="253"/>
      <c r="D36" s="253"/>
      <c r="E36" s="253"/>
      <c r="F36" s="253"/>
      <c r="G36" s="253"/>
      <c r="H36" s="253"/>
      <c r="I36" s="253"/>
      <c r="J36" s="258"/>
      <c r="K36" s="254">
        <f>+K32*K35</f>
        <v>1192.8657000000001</v>
      </c>
      <c r="L36" s="254"/>
      <c r="M36" s="254"/>
      <c r="N36" s="254"/>
      <c r="O36" s="254"/>
      <c r="P36" s="254">
        <f>+P32*P35</f>
        <v>1222.8748999999998</v>
      </c>
      <c r="Q36" s="254"/>
      <c r="R36" s="254"/>
      <c r="S36" s="254"/>
      <c r="T36" s="254"/>
      <c r="U36" s="254">
        <f>+U32*U35</f>
        <v>1228.8767399999999</v>
      </c>
      <c r="V36" s="254"/>
      <c r="W36" s="254"/>
      <c r="X36" s="254"/>
      <c r="Y36" s="254"/>
      <c r="Z36" s="254">
        <f>+Z32*Z35</f>
        <v>1191.3652399999999</v>
      </c>
      <c r="AA36" s="254"/>
      <c r="AB36" s="254"/>
      <c r="AC36" s="254"/>
      <c r="AD36" s="254"/>
      <c r="AE36" s="254"/>
      <c r="AF36" s="254"/>
      <c r="AG36" s="254"/>
      <c r="AH36" s="254"/>
      <c r="AI36" s="254"/>
      <c r="AJ36" s="247"/>
      <c r="AK36" s="259"/>
      <c r="AL36" s="259"/>
      <c r="AM36" s="259"/>
      <c r="AN36" s="259"/>
    </row>
    <row r="37" spans="1:41" s="23" customFormat="1" ht="15.75" customHeight="1">
      <c r="A37" s="25"/>
      <c r="B37" s="25"/>
      <c r="C37" s="25"/>
      <c r="D37" s="25"/>
      <c r="E37" s="25"/>
      <c r="F37" s="26"/>
      <c r="G37" s="25"/>
      <c r="H37" s="25"/>
      <c r="I37" s="25"/>
      <c r="J37" s="25"/>
      <c r="K37" s="27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9"/>
      <c r="AK37" s="29"/>
      <c r="AL37" s="29"/>
      <c r="AM37" s="29"/>
      <c r="AN37" s="29"/>
    </row>
    <row r="38" spans="1:41" s="23" customFormat="1" ht="17.25" customHeight="1">
      <c r="A38" s="239" t="s">
        <v>56</v>
      </c>
      <c r="B38" s="253"/>
      <c r="C38" s="253"/>
      <c r="D38" s="253"/>
      <c r="E38" s="253"/>
      <c r="F38" s="253"/>
      <c r="G38" s="253"/>
      <c r="H38" s="253"/>
      <c r="I38" s="253"/>
      <c r="J38" s="253"/>
      <c r="K38" s="254">
        <f>K26+K36</f>
        <v>1192.8657000000001</v>
      </c>
      <c r="L38" s="255"/>
      <c r="M38" s="255"/>
      <c r="N38" s="255"/>
      <c r="O38" s="255"/>
      <c r="P38" s="254">
        <f>P26+P36</f>
        <v>1222.8748999999998</v>
      </c>
      <c r="Q38" s="255"/>
      <c r="R38" s="255"/>
      <c r="S38" s="255"/>
      <c r="T38" s="255"/>
      <c r="U38" s="254">
        <f>U26+U36</f>
        <v>1228.8767399999999</v>
      </c>
      <c r="V38" s="255"/>
      <c r="W38" s="255"/>
      <c r="X38" s="255"/>
      <c r="Y38" s="255"/>
      <c r="Z38" s="254">
        <f>Z26+Z36</f>
        <v>1191.3652399999999</v>
      </c>
      <c r="AA38" s="255"/>
      <c r="AB38" s="255"/>
      <c r="AC38" s="255"/>
      <c r="AD38" s="255"/>
      <c r="AE38" s="254"/>
      <c r="AF38" s="255"/>
      <c r="AG38" s="255"/>
      <c r="AH38" s="255"/>
      <c r="AI38" s="255"/>
      <c r="AJ38" s="247"/>
      <c r="AK38" s="248"/>
      <c r="AL38" s="248"/>
      <c r="AM38" s="248"/>
      <c r="AN38" s="248"/>
    </row>
    <row r="39" spans="1:41" s="23" customFormat="1" ht="17.25" customHeight="1">
      <c r="A39" s="18"/>
      <c r="B39" s="18"/>
      <c r="C39" s="18"/>
      <c r="D39" s="18"/>
      <c r="E39" s="18"/>
      <c r="F39" s="30"/>
      <c r="G39" s="24"/>
      <c r="H39" s="24"/>
      <c r="I39" s="18"/>
      <c r="J39" s="18"/>
      <c r="K39" s="18"/>
    </row>
    <row r="40" spans="1:41" s="23" customFormat="1" ht="17.25" customHeight="1">
      <c r="A40" s="18"/>
      <c r="B40" s="18"/>
      <c r="C40" s="18"/>
      <c r="D40" s="18"/>
      <c r="E40" s="18"/>
      <c r="F40" s="30"/>
      <c r="G40" s="24"/>
      <c r="H40" s="24"/>
      <c r="I40" s="18"/>
      <c r="J40" s="18"/>
      <c r="K40" s="239" t="s">
        <v>57</v>
      </c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40">
        <f>SUM(K26:AN26)</f>
        <v>0</v>
      </c>
      <c r="AA40" s="241"/>
      <c r="AB40" s="241"/>
      <c r="AC40" s="241"/>
      <c r="AD40" s="241"/>
      <c r="AE40" s="241"/>
      <c r="AF40" s="241"/>
      <c r="AG40" s="241"/>
      <c r="AH40" s="242" t="s">
        <v>58</v>
      </c>
      <c r="AI40" s="243"/>
    </row>
    <row r="41" spans="1:41" ht="14.25" customHeight="1">
      <c r="A41" s="13"/>
      <c r="B41" s="13"/>
      <c r="C41" s="13"/>
      <c r="D41" s="13"/>
      <c r="E41" s="13"/>
      <c r="F41" s="16"/>
      <c r="G41" s="17"/>
      <c r="H41" s="17"/>
      <c r="I41" s="13"/>
      <c r="J41" s="13"/>
      <c r="K41" s="239" t="s">
        <v>59</v>
      </c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49">
        <f>SUM(K36:AN36)</f>
        <v>4835.9825799999999</v>
      </c>
      <c r="AA41" s="250"/>
      <c r="AB41" s="250"/>
      <c r="AC41" s="250"/>
      <c r="AD41" s="250"/>
      <c r="AE41" s="250"/>
      <c r="AF41" s="250"/>
      <c r="AG41" s="250"/>
      <c r="AH41" s="251" t="s">
        <v>58</v>
      </c>
      <c r="AI41" s="252"/>
      <c r="AJ41" s="23"/>
      <c r="AK41" s="23"/>
      <c r="AL41" s="23"/>
      <c r="AM41" s="23"/>
      <c r="AN41" s="23"/>
      <c r="AO41" s="23"/>
    </row>
    <row r="42" spans="1:41" ht="14.25" customHeight="1">
      <c r="A42" s="13"/>
      <c r="B42" s="13"/>
      <c r="C42" s="13"/>
      <c r="D42" s="13"/>
      <c r="E42" s="13"/>
      <c r="F42" s="16"/>
      <c r="G42" s="17"/>
      <c r="H42" s="17"/>
      <c r="I42" s="13"/>
      <c r="J42" s="13"/>
      <c r="K42" s="239" t="s">
        <v>60</v>
      </c>
      <c r="L42" s="239"/>
      <c r="M42" s="239"/>
      <c r="N42" s="239"/>
      <c r="O42" s="239"/>
      <c r="P42" s="239"/>
      <c r="Q42" s="239"/>
      <c r="R42" s="239"/>
      <c r="S42" s="239"/>
      <c r="T42" s="239"/>
      <c r="U42" s="239"/>
      <c r="V42" s="239"/>
      <c r="W42" s="239"/>
      <c r="X42" s="239"/>
      <c r="Y42" s="239"/>
      <c r="Z42" s="240">
        <f>+Z40+Z41</f>
        <v>4835.9825799999999</v>
      </c>
      <c r="AA42" s="241"/>
      <c r="AB42" s="241"/>
      <c r="AC42" s="241"/>
      <c r="AD42" s="241"/>
      <c r="AE42" s="241"/>
      <c r="AF42" s="241"/>
      <c r="AG42" s="241"/>
      <c r="AH42" s="242" t="s">
        <v>58</v>
      </c>
      <c r="AI42" s="243"/>
      <c r="AJ42" s="21"/>
      <c r="AK42" s="21"/>
      <c r="AL42" s="21"/>
      <c r="AM42" s="21"/>
    </row>
    <row r="43" spans="1:41" ht="2.25" customHeight="1">
      <c r="A43" s="13"/>
      <c r="B43" s="13"/>
      <c r="C43" s="13"/>
      <c r="D43" s="13"/>
      <c r="E43" s="13"/>
      <c r="F43" s="16"/>
      <c r="G43" s="17"/>
      <c r="H43" s="17"/>
      <c r="I43" s="13"/>
      <c r="J43" s="13"/>
      <c r="K43" s="13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</row>
    <row r="44" spans="1:41" ht="14.25" customHeight="1">
      <c r="A44" s="13"/>
      <c r="B44" s="13"/>
      <c r="C44" s="13"/>
      <c r="D44" s="13"/>
      <c r="E44" s="13"/>
      <c r="F44" s="16"/>
      <c r="G44" s="17"/>
      <c r="H44" s="17"/>
      <c r="I44" s="13"/>
      <c r="J44" s="13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44"/>
      <c r="X44" s="244"/>
      <c r="Y44" s="244"/>
      <c r="Z44" s="245"/>
      <c r="AA44" s="245"/>
      <c r="AB44" s="245"/>
      <c r="AC44" s="245"/>
      <c r="AD44" s="245"/>
      <c r="AE44" s="245"/>
      <c r="AF44" s="245"/>
      <c r="AG44" s="245"/>
      <c r="AH44" s="246"/>
      <c r="AI44" s="246"/>
      <c r="AJ44" s="21"/>
      <c r="AK44" s="21"/>
      <c r="AL44" s="21"/>
      <c r="AM44" s="21"/>
    </row>
    <row r="45" spans="1:41" ht="2.25" customHeight="1">
      <c r="A45" s="13"/>
      <c r="B45" s="13"/>
      <c r="C45" s="13"/>
      <c r="D45" s="13"/>
      <c r="E45" s="13"/>
      <c r="F45" s="16"/>
      <c r="G45" s="17"/>
      <c r="H45" s="17"/>
      <c r="I45" s="13"/>
      <c r="J45" s="13"/>
      <c r="K45" s="13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</row>
    <row r="46" spans="1:41" ht="14.25" customHeight="1">
      <c r="A46" s="13"/>
      <c r="B46" s="13"/>
      <c r="C46" s="13"/>
      <c r="D46" s="13"/>
      <c r="E46" s="13"/>
      <c r="F46" s="16"/>
      <c r="G46" s="17"/>
      <c r="H46" s="17"/>
      <c r="I46" s="13"/>
      <c r="J46" s="13"/>
      <c r="K46" s="13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31"/>
      <c r="AH46" s="21"/>
      <c r="AI46" s="21"/>
      <c r="AJ46" s="21"/>
      <c r="AK46" s="21"/>
      <c r="AL46" s="21"/>
      <c r="AM46" s="21"/>
    </row>
    <row r="47" spans="1:41" ht="14.25" customHeight="1">
      <c r="A47" s="32"/>
      <c r="D47" s="28" t="s">
        <v>61</v>
      </c>
      <c r="E47" s="12" t="s">
        <v>62</v>
      </c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33"/>
      <c r="AH47" s="23"/>
      <c r="AI47" s="23"/>
      <c r="AJ47" s="23"/>
      <c r="AK47" s="23"/>
      <c r="AL47" s="23"/>
      <c r="AM47" s="23"/>
      <c r="AN47" s="23"/>
    </row>
    <row r="48" spans="1:41" ht="14.25" customHeight="1">
      <c r="A48" s="32"/>
      <c r="B48" s="32"/>
      <c r="C48" s="32"/>
      <c r="D48" s="32"/>
      <c r="E48" s="12" t="s">
        <v>63</v>
      </c>
      <c r="F48" s="34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ht="14.25" customHeight="1">
      <c r="A49" s="13"/>
      <c r="B49" s="13"/>
      <c r="C49" s="13"/>
      <c r="D49" s="13"/>
      <c r="E49" s="23"/>
      <c r="F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ht="14.25" customHeight="1">
      <c r="A50" s="13"/>
      <c r="B50" s="13"/>
      <c r="C50" s="13"/>
      <c r="D50" s="13"/>
      <c r="E50" s="13"/>
      <c r="F50" s="16"/>
      <c r="H50" s="17"/>
      <c r="I50" s="13"/>
      <c r="J50" s="13"/>
      <c r="K50" s="13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</row>
    <row r="51" spans="1:40" ht="14.25" customHeight="1">
      <c r="A51" s="22"/>
      <c r="B51" s="22"/>
      <c r="C51" s="22"/>
      <c r="D51" s="22"/>
      <c r="E51" s="22"/>
      <c r="F51" s="18"/>
      <c r="G51" s="18"/>
      <c r="H51" s="18"/>
      <c r="I51" s="18"/>
      <c r="J51" s="18"/>
      <c r="K51" s="18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35"/>
      <c r="W51" s="35"/>
      <c r="X51" s="35"/>
      <c r="Y51" s="35"/>
      <c r="Z51" s="36"/>
      <c r="AA51" s="36"/>
      <c r="AB51" s="36"/>
      <c r="AC51" s="36"/>
      <c r="AD51" s="36"/>
      <c r="AE51" s="36"/>
      <c r="AF51" s="36"/>
      <c r="AL51" s="37"/>
      <c r="AM51" s="37"/>
      <c r="AN51" s="37"/>
    </row>
    <row r="52" spans="1:40" ht="14.25" customHeight="1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</row>
    <row r="53" spans="1:40" ht="12.75" customHeight="1">
      <c r="G53" s="38"/>
      <c r="H53" s="39"/>
    </row>
    <row r="54" spans="1:40" ht="15" customHeight="1">
      <c r="AH54" s="40"/>
    </row>
  </sheetData>
  <mergeCells count="189">
    <mergeCell ref="S3:W3"/>
    <mergeCell ref="X3:AI3"/>
    <mergeCell ref="S4:W4"/>
    <mergeCell ref="X4:AI4"/>
    <mergeCell ref="S5:W5"/>
    <mergeCell ref="X5:AI5"/>
    <mergeCell ref="S6:W6"/>
    <mergeCell ref="X6:AI6"/>
    <mergeCell ref="S7:W7"/>
    <mergeCell ref="X7:AI7"/>
    <mergeCell ref="A10:AJ10"/>
    <mergeCell ref="A12:J12"/>
    <mergeCell ref="K12:O12"/>
    <mergeCell ref="P12:T12"/>
    <mergeCell ref="U12:Y12"/>
    <mergeCell ref="Z12:AD12"/>
    <mergeCell ref="AE12:AI12"/>
    <mergeCell ref="AJ12:AN12"/>
    <mergeCell ref="A13:J13"/>
    <mergeCell ref="K13:O13"/>
    <mergeCell ref="P13:T13"/>
    <mergeCell ref="U13:Y13"/>
    <mergeCell ref="Z13:AD13"/>
    <mergeCell ref="AE13:AI13"/>
    <mergeCell ref="AJ13:AN13"/>
    <mergeCell ref="U18:Y18"/>
    <mergeCell ref="AJ14:AN14"/>
    <mergeCell ref="A15:J15"/>
    <mergeCell ref="K15:O15"/>
    <mergeCell ref="P15:T15"/>
    <mergeCell ref="U15:Y15"/>
    <mergeCell ref="Z15:AD15"/>
    <mergeCell ref="AE15:AI15"/>
    <mergeCell ref="AJ15:AN15"/>
    <mergeCell ref="A14:J14"/>
    <mergeCell ref="K14:O14"/>
    <mergeCell ref="P14:T14"/>
    <mergeCell ref="U14:Y14"/>
    <mergeCell ref="Z14:AD14"/>
    <mergeCell ref="AE14:AI14"/>
    <mergeCell ref="Z18:AD18"/>
    <mergeCell ref="AJ18:AN18"/>
    <mergeCell ref="A19:J19"/>
    <mergeCell ref="K19:O19"/>
    <mergeCell ref="P19:T19"/>
    <mergeCell ref="U19:Y19"/>
    <mergeCell ref="Z19:AD19"/>
    <mergeCell ref="AJ19:AN19"/>
    <mergeCell ref="AJ16:AN16"/>
    <mergeCell ref="A17:J17"/>
    <mergeCell ref="K17:O17"/>
    <mergeCell ref="P17:T17"/>
    <mergeCell ref="U17:Y17"/>
    <mergeCell ref="Z17:AD17"/>
    <mergeCell ref="AJ17:AN17"/>
    <mergeCell ref="A16:J16"/>
    <mergeCell ref="K16:O16"/>
    <mergeCell ref="P16:T16"/>
    <mergeCell ref="U16:Y16"/>
    <mergeCell ref="Z16:AD16"/>
    <mergeCell ref="AE16:AI25"/>
    <mergeCell ref="A18:J18"/>
    <mergeCell ref="K18:O18"/>
    <mergeCell ref="P18:T18"/>
    <mergeCell ref="A21:J21"/>
    <mergeCell ref="K21:O21"/>
    <mergeCell ref="P21:T21"/>
    <mergeCell ref="U21:Y21"/>
    <mergeCell ref="Z21:AD21"/>
    <mergeCell ref="AJ21:AN21"/>
    <mergeCell ref="A20:J20"/>
    <mergeCell ref="K20:O20"/>
    <mergeCell ref="P20:T20"/>
    <mergeCell ref="U20:Y20"/>
    <mergeCell ref="Z20:AD20"/>
    <mergeCell ref="AJ20:AN20"/>
    <mergeCell ref="A23:J23"/>
    <mergeCell ref="K23:O23"/>
    <mergeCell ref="P23:T23"/>
    <mergeCell ref="U23:Y23"/>
    <mergeCell ref="Z23:AD23"/>
    <mergeCell ref="AJ23:AN23"/>
    <mergeCell ref="A22:J22"/>
    <mergeCell ref="K22:O22"/>
    <mergeCell ref="P22:T22"/>
    <mergeCell ref="U22:Y22"/>
    <mergeCell ref="Z22:AD22"/>
    <mergeCell ref="AJ22:AN22"/>
    <mergeCell ref="A25:J25"/>
    <mergeCell ref="K25:O25"/>
    <mergeCell ref="P25:T25"/>
    <mergeCell ref="U25:Y25"/>
    <mergeCell ref="Z25:AD25"/>
    <mergeCell ref="AJ25:AN25"/>
    <mergeCell ref="A24:J24"/>
    <mergeCell ref="K24:O24"/>
    <mergeCell ref="P24:T24"/>
    <mergeCell ref="U24:Y24"/>
    <mergeCell ref="Z24:AD24"/>
    <mergeCell ref="AJ24:AN24"/>
    <mergeCell ref="AJ26:AN26"/>
    <mergeCell ref="A28:J28"/>
    <mergeCell ref="K28:O28"/>
    <mergeCell ref="P28:T28"/>
    <mergeCell ref="U28:Y28"/>
    <mergeCell ref="Z28:AD28"/>
    <mergeCell ref="AE28:AI28"/>
    <mergeCell ref="AJ28:AN28"/>
    <mergeCell ref="A26:J26"/>
    <mergeCell ref="K26:O26"/>
    <mergeCell ref="P26:T26"/>
    <mergeCell ref="U26:Y26"/>
    <mergeCell ref="Z26:AD26"/>
    <mergeCell ref="AE26:AI26"/>
    <mergeCell ref="AJ29:AN29"/>
    <mergeCell ref="A30:J30"/>
    <mergeCell ref="K30:O30"/>
    <mergeCell ref="P30:T30"/>
    <mergeCell ref="U30:Y30"/>
    <mergeCell ref="Z30:AD30"/>
    <mergeCell ref="AE30:AI30"/>
    <mergeCell ref="AJ30:AN30"/>
    <mergeCell ref="A29:J29"/>
    <mergeCell ref="K29:O29"/>
    <mergeCell ref="P29:T29"/>
    <mergeCell ref="U29:Y29"/>
    <mergeCell ref="Z29:AD29"/>
    <mergeCell ref="AE29:AI29"/>
    <mergeCell ref="AJ31:AN31"/>
    <mergeCell ref="A32:J32"/>
    <mergeCell ref="K32:O32"/>
    <mergeCell ref="P32:T32"/>
    <mergeCell ref="U32:Y32"/>
    <mergeCell ref="Z32:AD32"/>
    <mergeCell ref="AE32:AI32"/>
    <mergeCell ref="AJ32:AN32"/>
    <mergeCell ref="A31:J31"/>
    <mergeCell ref="K31:O31"/>
    <mergeCell ref="P31:T31"/>
    <mergeCell ref="U31:Y31"/>
    <mergeCell ref="Z31:AD31"/>
    <mergeCell ref="AE31:AI31"/>
    <mergeCell ref="AJ33:AN33"/>
    <mergeCell ref="A34:J34"/>
    <mergeCell ref="K34:O34"/>
    <mergeCell ref="P34:T34"/>
    <mergeCell ref="U34:Y34"/>
    <mergeCell ref="Z34:AD34"/>
    <mergeCell ref="AE34:AI34"/>
    <mergeCell ref="AJ34:AN34"/>
    <mergeCell ref="A33:J33"/>
    <mergeCell ref="K33:O33"/>
    <mergeCell ref="P33:T33"/>
    <mergeCell ref="U33:Y33"/>
    <mergeCell ref="Z33:AD33"/>
    <mergeCell ref="AE33:AI33"/>
    <mergeCell ref="A38:J38"/>
    <mergeCell ref="K38:O38"/>
    <mergeCell ref="P38:T38"/>
    <mergeCell ref="U38:Y38"/>
    <mergeCell ref="Z38:AD38"/>
    <mergeCell ref="AE38:AI38"/>
    <mergeCell ref="AJ35:AN35"/>
    <mergeCell ref="A36:J36"/>
    <mergeCell ref="K36:O36"/>
    <mergeCell ref="P36:T36"/>
    <mergeCell ref="U36:Y36"/>
    <mergeCell ref="Z36:AD36"/>
    <mergeCell ref="AE36:AI36"/>
    <mergeCell ref="AJ36:AN36"/>
    <mergeCell ref="A35:J35"/>
    <mergeCell ref="K35:O35"/>
    <mergeCell ref="P35:T35"/>
    <mergeCell ref="U35:Y35"/>
    <mergeCell ref="Z35:AD35"/>
    <mergeCell ref="AE35:AI35"/>
    <mergeCell ref="K42:Y42"/>
    <mergeCell ref="Z42:AG42"/>
    <mergeCell ref="AH42:AI42"/>
    <mergeCell ref="K44:Y44"/>
    <mergeCell ref="Z44:AG44"/>
    <mergeCell ref="AH44:AI44"/>
    <mergeCell ref="AJ38:AN38"/>
    <mergeCell ref="K40:Y40"/>
    <mergeCell ref="Z40:AG40"/>
    <mergeCell ref="AH40:AI40"/>
    <mergeCell ref="K41:Y41"/>
    <mergeCell ref="Z41:AG41"/>
    <mergeCell ref="AH41:AI41"/>
  </mergeCells>
  <printOptions horizontalCentered="1"/>
  <pageMargins left="0.31496062992125984" right="0.31496062992125984" top="0.55118110236220474" bottom="0.15748031496062992" header="0.31496062992125984" footer="0.31496062992125984"/>
  <pageSetup paperSize="9" scale="8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D36EC-A487-4705-8168-8F257AAAEC6E}">
  <sheetPr codeName="Feuil7">
    <tabColor rgb="FF0070C0"/>
    <pageSetUpPr fitToPage="1"/>
  </sheetPr>
  <dimension ref="A6:K71"/>
  <sheetViews>
    <sheetView showGridLines="0" view="pageBreakPreview" topLeftCell="A23" zoomScaleNormal="100" zoomScaleSheetLayoutView="100" workbookViewId="0">
      <selection activeCell="F36" sqref="F36"/>
    </sheetView>
  </sheetViews>
  <sheetFormatPr baseColWidth="10" defaultColWidth="9.140625" defaultRowHeight="12.75"/>
  <cols>
    <col min="1" max="1" width="25.5703125" style="12" customWidth="1"/>
    <col min="2" max="2" width="13.140625" style="12" customWidth="1"/>
    <col min="3" max="3" width="12.28515625" style="12" customWidth="1"/>
    <col min="4" max="6" width="11.85546875" style="12" customWidth="1"/>
    <col min="7" max="7" width="9.140625" style="12" hidden="1" customWidth="1"/>
    <col min="8" max="8" width="0.140625" style="12" hidden="1" customWidth="1"/>
    <col min="9" max="10" width="9.140625" style="12" hidden="1" customWidth="1"/>
    <col min="11" max="11" width="0.140625" style="12" hidden="1" customWidth="1"/>
    <col min="12" max="256" width="9.140625" style="12"/>
    <col min="257" max="257" width="25.5703125" style="12" customWidth="1"/>
    <col min="258" max="258" width="13.140625" style="12" customWidth="1"/>
    <col min="259" max="259" width="12.28515625" style="12" customWidth="1"/>
    <col min="260" max="262" width="11.85546875" style="12" customWidth="1"/>
    <col min="263" max="267" width="0" style="12" hidden="1" customWidth="1"/>
    <col min="268" max="512" width="9.140625" style="12"/>
    <col min="513" max="513" width="25.5703125" style="12" customWidth="1"/>
    <col min="514" max="514" width="13.140625" style="12" customWidth="1"/>
    <col min="515" max="515" width="12.28515625" style="12" customWidth="1"/>
    <col min="516" max="518" width="11.85546875" style="12" customWidth="1"/>
    <col min="519" max="523" width="0" style="12" hidden="1" customWidth="1"/>
    <col min="524" max="768" width="9.140625" style="12"/>
    <col min="769" max="769" width="25.5703125" style="12" customWidth="1"/>
    <col min="770" max="770" width="13.140625" style="12" customWidth="1"/>
    <col min="771" max="771" width="12.28515625" style="12" customWidth="1"/>
    <col min="772" max="774" width="11.85546875" style="12" customWidth="1"/>
    <col min="775" max="779" width="0" style="12" hidden="1" customWidth="1"/>
    <col min="780" max="1024" width="9.140625" style="12"/>
    <col min="1025" max="1025" width="25.5703125" style="12" customWidth="1"/>
    <col min="1026" max="1026" width="13.140625" style="12" customWidth="1"/>
    <col min="1027" max="1027" width="12.28515625" style="12" customWidth="1"/>
    <col min="1028" max="1030" width="11.85546875" style="12" customWidth="1"/>
    <col min="1031" max="1035" width="0" style="12" hidden="1" customWidth="1"/>
    <col min="1036" max="1280" width="9.140625" style="12"/>
    <col min="1281" max="1281" width="25.5703125" style="12" customWidth="1"/>
    <col min="1282" max="1282" width="13.140625" style="12" customWidth="1"/>
    <col min="1283" max="1283" width="12.28515625" style="12" customWidth="1"/>
    <col min="1284" max="1286" width="11.85546875" style="12" customWidth="1"/>
    <col min="1287" max="1291" width="0" style="12" hidden="1" customWidth="1"/>
    <col min="1292" max="1536" width="9.140625" style="12"/>
    <col min="1537" max="1537" width="25.5703125" style="12" customWidth="1"/>
    <col min="1538" max="1538" width="13.140625" style="12" customWidth="1"/>
    <col min="1539" max="1539" width="12.28515625" style="12" customWidth="1"/>
    <col min="1540" max="1542" width="11.85546875" style="12" customWidth="1"/>
    <col min="1543" max="1547" width="0" style="12" hidden="1" customWidth="1"/>
    <col min="1548" max="1792" width="9.140625" style="12"/>
    <col min="1793" max="1793" width="25.5703125" style="12" customWidth="1"/>
    <col min="1794" max="1794" width="13.140625" style="12" customWidth="1"/>
    <col min="1795" max="1795" width="12.28515625" style="12" customWidth="1"/>
    <col min="1796" max="1798" width="11.85546875" style="12" customWidth="1"/>
    <col min="1799" max="1803" width="0" style="12" hidden="1" customWidth="1"/>
    <col min="1804" max="2048" width="9.140625" style="12"/>
    <col min="2049" max="2049" width="25.5703125" style="12" customWidth="1"/>
    <col min="2050" max="2050" width="13.140625" style="12" customWidth="1"/>
    <col min="2051" max="2051" width="12.28515625" style="12" customWidth="1"/>
    <col min="2052" max="2054" width="11.85546875" style="12" customWidth="1"/>
    <col min="2055" max="2059" width="0" style="12" hidden="1" customWidth="1"/>
    <col min="2060" max="2304" width="9.140625" style="12"/>
    <col min="2305" max="2305" width="25.5703125" style="12" customWidth="1"/>
    <col min="2306" max="2306" width="13.140625" style="12" customWidth="1"/>
    <col min="2307" max="2307" width="12.28515625" style="12" customWidth="1"/>
    <col min="2308" max="2310" width="11.85546875" style="12" customWidth="1"/>
    <col min="2311" max="2315" width="0" style="12" hidden="1" customWidth="1"/>
    <col min="2316" max="2560" width="9.140625" style="12"/>
    <col min="2561" max="2561" width="25.5703125" style="12" customWidth="1"/>
    <col min="2562" max="2562" width="13.140625" style="12" customWidth="1"/>
    <col min="2563" max="2563" width="12.28515625" style="12" customWidth="1"/>
    <col min="2564" max="2566" width="11.85546875" style="12" customWidth="1"/>
    <col min="2567" max="2571" width="0" style="12" hidden="1" customWidth="1"/>
    <col min="2572" max="2816" width="9.140625" style="12"/>
    <col min="2817" max="2817" width="25.5703125" style="12" customWidth="1"/>
    <col min="2818" max="2818" width="13.140625" style="12" customWidth="1"/>
    <col min="2819" max="2819" width="12.28515625" style="12" customWidth="1"/>
    <col min="2820" max="2822" width="11.85546875" style="12" customWidth="1"/>
    <col min="2823" max="2827" width="0" style="12" hidden="1" customWidth="1"/>
    <col min="2828" max="3072" width="9.140625" style="12"/>
    <col min="3073" max="3073" width="25.5703125" style="12" customWidth="1"/>
    <col min="3074" max="3074" width="13.140625" style="12" customWidth="1"/>
    <col min="3075" max="3075" width="12.28515625" style="12" customWidth="1"/>
    <col min="3076" max="3078" width="11.85546875" style="12" customWidth="1"/>
    <col min="3079" max="3083" width="0" style="12" hidden="1" customWidth="1"/>
    <col min="3084" max="3328" width="9.140625" style="12"/>
    <col min="3329" max="3329" width="25.5703125" style="12" customWidth="1"/>
    <col min="3330" max="3330" width="13.140625" style="12" customWidth="1"/>
    <col min="3331" max="3331" width="12.28515625" style="12" customWidth="1"/>
    <col min="3332" max="3334" width="11.85546875" style="12" customWidth="1"/>
    <col min="3335" max="3339" width="0" style="12" hidden="1" customWidth="1"/>
    <col min="3340" max="3584" width="9.140625" style="12"/>
    <col min="3585" max="3585" width="25.5703125" style="12" customWidth="1"/>
    <col min="3586" max="3586" width="13.140625" style="12" customWidth="1"/>
    <col min="3587" max="3587" width="12.28515625" style="12" customWidth="1"/>
    <col min="3588" max="3590" width="11.85546875" style="12" customWidth="1"/>
    <col min="3591" max="3595" width="0" style="12" hidden="1" customWidth="1"/>
    <col min="3596" max="3840" width="9.140625" style="12"/>
    <col min="3841" max="3841" width="25.5703125" style="12" customWidth="1"/>
    <col min="3842" max="3842" width="13.140625" style="12" customWidth="1"/>
    <col min="3843" max="3843" width="12.28515625" style="12" customWidth="1"/>
    <col min="3844" max="3846" width="11.85546875" style="12" customWidth="1"/>
    <col min="3847" max="3851" width="0" style="12" hidden="1" customWidth="1"/>
    <col min="3852" max="4096" width="9.140625" style="12"/>
    <col min="4097" max="4097" width="25.5703125" style="12" customWidth="1"/>
    <col min="4098" max="4098" width="13.140625" style="12" customWidth="1"/>
    <col min="4099" max="4099" width="12.28515625" style="12" customWidth="1"/>
    <col min="4100" max="4102" width="11.85546875" style="12" customWidth="1"/>
    <col min="4103" max="4107" width="0" style="12" hidden="1" customWidth="1"/>
    <col min="4108" max="4352" width="9.140625" style="12"/>
    <col min="4353" max="4353" width="25.5703125" style="12" customWidth="1"/>
    <col min="4354" max="4354" width="13.140625" style="12" customWidth="1"/>
    <col min="4355" max="4355" width="12.28515625" style="12" customWidth="1"/>
    <col min="4356" max="4358" width="11.85546875" style="12" customWidth="1"/>
    <col min="4359" max="4363" width="0" style="12" hidden="1" customWidth="1"/>
    <col min="4364" max="4608" width="9.140625" style="12"/>
    <col min="4609" max="4609" width="25.5703125" style="12" customWidth="1"/>
    <col min="4610" max="4610" width="13.140625" style="12" customWidth="1"/>
    <col min="4611" max="4611" width="12.28515625" style="12" customWidth="1"/>
    <col min="4612" max="4614" width="11.85546875" style="12" customWidth="1"/>
    <col min="4615" max="4619" width="0" style="12" hidden="1" customWidth="1"/>
    <col min="4620" max="4864" width="9.140625" style="12"/>
    <col min="4865" max="4865" width="25.5703125" style="12" customWidth="1"/>
    <col min="4866" max="4866" width="13.140625" style="12" customWidth="1"/>
    <col min="4867" max="4867" width="12.28515625" style="12" customWidth="1"/>
    <col min="4868" max="4870" width="11.85546875" style="12" customWidth="1"/>
    <col min="4871" max="4875" width="0" style="12" hidden="1" customWidth="1"/>
    <col min="4876" max="5120" width="9.140625" style="12"/>
    <col min="5121" max="5121" width="25.5703125" style="12" customWidth="1"/>
    <col min="5122" max="5122" width="13.140625" style="12" customWidth="1"/>
    <col min="5123" max="5123" width="12.28515625" style="12" customWidth="1"/>
    <col min="5124" max="5126" width="11.85546875" style="12" customWidth="1"/>
    <col min="5127" max="5131" width="0" style="12" hidden="1" customWidth="1"/>
    <col min="5132" max="5376" width="9.140625" style="12"/>
    <col min="5377" max="5377" width="25.5703125" style="12" customWidth="1"/>
    <col min="5378" max="5378" width="13.140625" style="12" customWidth="1"/>
    <col min="5379" max="5379" width="12.28515625" style="12" customWidth="1"/>
    <col min="5380" max="5382" width="11.85546875" style="12" customWidth="1"/>
    <col min="5383" max="5387" width="0" style="12" hidden="1" customWidth="1"/>
    <col min="5388" max="5632" width="9.140625" style="12"/>
    <col min="5633" max="5633" width="25.5703125" style="12" customWidth="1"/>
    <col min="5634" max="5634" width="13.140625" style="12" customWidth="1"/>
    <col min="5635" max="5635" width="12.28515625" style="12" customWidth="1"/>
    <col min="5636" max="5638" width="11.85546875" style="12" customWidth="1"/>
    <col min="5639" max="5643" width="0" style="12" hidden="1" customWidth="1"/>
    <col min="5644" max="5888" width="9.140625" style="12"/>
    <col min="5889" max="5889" width="25.5703125" style="12" customWidth="1"/>
    <col min="5890" max="5890" width="13.140625" style="12" customWidth="1"/>
    <col min="5891" max="5891" width="12.28515625" style="12" customWidth="1"/>
    <col min="5892" max="5894" width="11.85546875" style="12" customWidth="1"/>
    <col min="5895" max="5899" width="0" style="12" hidden="1" customWidth="1"/>
    <col min="5900" max="6144" width="9.140625" style="12"/>
    <col min="6145" max="6145" width="25.5703125" style="12" customWidth="1"/>
    <col min="6146" max="6146" width="13.140625" style="12" customWidth="1"/>
    <col min="6147" max="6147" width="12.28515625" style="12" customWidth="1"/>
    <col min="6148" max="6150" width="11.85546875" style="12" customWidth="1"/>
    <col min="6151" max="6155" width="0" style="12" hidden="1" customWidth="1"/>
    <col min="6156" max="6400" width="9.140625" style="12"/>
    <col min="6401" max="6401" width="25.5703125" style="12" customWidth="1"/>
    <col min="6402" max="6402" width="13.140625" style="12" customWidth="1"/>
    <col min="6403" max="6403" width="12.28515625" style="12" customWidth="1"/>
    <col min="6404" max="6406" width="11.85546875" style="12" customWidth="1"/>
    <col min="6407" max="6411" width="0" style="12" hidden="1" customWidth="1"/>
    <col min="6412" max="6656" width="9.140625" style="12"/>
    <col min="6657" max="6657" width="25.5703125" style="12" customWidth="1"/>
    <col min="6658" max="6658" width="13.140625" style="12" customWidth="1"/>
    <col min="6659" max="6659" width="12.28515625" style="12" customWidth="1"/>
    <col min="6660" max="6662" width="11.85546875" style="12" customWidth="1"/>
    <col min="6663" max="6667" width="0" style="12" hidden="1" customWidth="1"/>
    <col min="6668" max="6912" width="9.140625" style="12"/>
    <col min="6913" max="6913" width="25.5703125" style="12" customWidth="1"/>
    <col min="6914" max="6914" width="13.140625" style="12" customWidth="1"/>
    <col min="6915" max="6915" width="12.28515625" style="12" customWidth="1"/>
    <col min="6916" max="6918" width="11.85546875" style="12" customWidth="1"/>
    <col min="6919" max="6923" width="0" style="12" hidden="1" customWidth="1"/>
    <col min="6924" max="7168" width="9.140625" style="12"/>
    <col min="7169" max="7169" width="25.5703125" style="12" customWidth="1"/>
    <col min="7170" max="7170" width="13.140625" style="12" customWidth="1"/>
    <col min="7171" max="7171" width="12.28515625" style="12" customWidth="1"/>
    <col min="7172" max="7174" width="11.85546875" style="12" customWidth="1"/>
    <col min="7175" max="7179" width="0" style="12" hidden="1" customWidth="1"/>
    <col min="7180" max="7424" width="9.140625" style="12"/>
    <col min="7425" max="7425" width="25.5703125" style="12" customWidth="1"/>
    <col min="7426" max="7426" width="13.140625" style="12" customWidth="1"/>
    <col min="7427" max="7427" width="12.28515625" style="12" customWidth="1"/>
    <col min="7428" max="7430" width="11.85546875" style="12" customWidth="1"/>
    <col min="7431" max="7435" width="0" style="12" hidden="1" customWidth="1"/>
    <col min="7436" max="7680" width="9.140625" style="12"/>
    <col min="7681" max="7681" width="25.5703125" style="12" customWidth="1"/>
    <col min="7682" max="7682" width="13.140625" style="12" customWidth="1"/>
    <col min="7683" max="7683" width="12.28515625" style="12" customWidth="1"/>
    <col min="7684" max="7686" width="11.85546875" style="12" customWidth="1"/>
    <col min="7687" max="7691" width="0" style="12" hidden="1" customWidth="1"/>
    <col min="7692" max="7936" width="9.140625" style="12"/>
    <col min="7937" max="7937" width="25.5703125" style="12" customWidth="1"/>
    <col min="7938" max="7938" width="13.140625" style="12" customWidth="1"/>
    <col min="7939" max="7939" width="12.28515625" style="12" customWidth="1"/>
    <col min="7940" max="7942" width="11.85546875" style="12" customWidth="1"/>
    <col min="7943" max="7947" width="0" style="12" hidden="1" customWidth="1"/>
    <col min="7948" max="8192" width="9.140625" style="12"/>
    <col min="8193" max="8193" width="25.5703125" style="12" customWidth="1"/>
    <col min="8194" max="8194" width="13.140625" style="12" customWidth="1"/>
    <col min="8195" max="8195" width="12.28515625" style="12" customWidth="1"/>
    <col min="8196" max="8198" width="11.85546875" style="12" customWidth="1"/>
    <col min="8199" max="8203" width="0" style="12" hidden="1" customWidth="1"/>
    <col min="8204" max="8448" width="9.140625" style="12"/>
    <col min="8449" max="8449" width="25.5703125" style="12" customWidth="1"/>
    <col min="8450" max="8450" width="13.140625" style="12" customWidth="1"/>
    <col min="8451" max="8451" width="12.28515625" style="12" customWidth="1"/>
    <col min="8452" max="8454" width="11.85546875" style="12" customWidth="1"/>
    <col min="8455" max="8459" width="0" style="12" hidden="1" customWidth="1"/>
    <col min="8460" max="8704" width="9.140625" style="12"/>
    <col min="8705" max="8705" width="25.5703125" style="12" customWidth="1"/>
    <col min="8706" max="8706" width="13.140625" style="12" customWidth="1"/>
    <col min="8707" max="8707" width="12.28515625" style="12" customWidth="1"/>
    <col min="8708" max="8710" width="11.85546875" style="12" customWidth="1"/>
    <col min="8711" max="8715" width="0" style="12" hidden="1" customWidth="1"/>
    <col min="8716" max="8960" width="9.140625" style="12"/>
    <col min="8961" max="8961" width="25.5703125" style="12" customWidth="1"/>
    <col min="8962" max="8962" width="13.140625" style="12" customWidth="1"/>
    <col min="8963" max="8963" width="12.28515625" style="12" customWidth="1"/>
    <col min="8964" max="8966" width="11.85546875" style="12" customWidth="1"/>
    <col min="8967" max="8971" width="0" style="12" hidden="1" customWidth="1"/>
    <col min="8972" max="9216" width="9.140625" style="12"/>
    <col min="9217" max="9217" width="25.5703125" style="12" customWidth="1"/>
    <col min="9218" max="9218" width="13.140625" style="12" customWidth="1"/>
    <col min="9219" max="9219" width="12.28515625" style="12" customWidth="1"/>
    <col min="9220" max="9222" width="11.85546875" style="12" customWidth="1"/>
    <col min="9223" max="9227" width="0" style="12" hidden="1" customWidth="1"/>
    <col min="9228" max="9472" width="9.140625" style="12"/>
    <col min="9473" max="9473" width="25.5703125" style="12" customWidth="1"/>
    <col min="9474" max="9474" width="13.140625" style="12" customWidth="1"/>
    <col min="9475" max="9475" width="12.28515625" style="12" customWidth="1"/>
    <col min="9476" max="9478" width="11.85546875" style="12" customWidth="1"/>
    <col min="9479" max="9483" width="0" style="12" hidden="1" customWidth="1"/>
    <col min="9484" max="9728" width="9.140625" style="12"/>
    <col min="9729" max="9729" width="25.5703125" style="12" customWidth="1"/>
    <col min="9730" max="9730" width="13.140625" style="12" customWidth="1"/>
    <col min="9731" max="9731" width="12.28515625" style="12" customWidth="1"/>
    <col min="9732" max="9734" width="11.85546875" style="12" customWidth="1"/>
    <col min="9735" max="9739" width="0" style="12" hidden="1" customWidth="1"/>
    <col min="9740" max="9984" width="9.140625" style="12"/>
    <col min="9985" max="9985" width="25.5703125" style="12" customWidth="1"/>
    <col min="9986" max="9986" width="13.140625" style="12" customWidth="1"/>
    <col min="9987" max="9987" width="12.28515625" style="12" customWidth="1"/>
    <col min="9988" max="9990" width="11.85546875" style="12" customWidth="1"/>
    <col min="9991" max="9995" width="0" style="12" hidden="1" customWidth="1"/>
    <col min="9996" max="10240" width="9.140625" style="12"/>
    <col min="10241" max="10241" width="25.5703125" style="12" customWidth="1"/>
    <col min="10242" max="10242" width="13.140625" style="12" customWidth="1"/>
    <col min="10243" max="10243" width="12.28515625" style="12" customWidth="1"/>
    <col min="10244" max="10246" width="11.85546875" style="12" customWidth="1"/>
    <col min="10247" max="10251" width="0" style="12" hidden="1" customWidth="1"/>
    <col min="10252" max="10496" width="9.140625" style="12"/>
    <col min="10497" max="10497" width="25.5703125" style="12" customWidth="1"/>
    <col min="10498" max="10498" width="13.140625" style="12" customWidth="1"/>
    <col min="10499" max="10499" width="12.28515625" style="12" customWidth="1"/>
    <col min="10500" max="10502" width="11.85546875" style="12" customWidth="1"/>
    <col min="10503" max="10507" width="0" style="12" hidden="1" customWidth="1"/>
    <col min="10508" max="10752" width="9.140625" style="12"/>
    <col min="10753" max="10753" width="25.5703125" style="12" customWidth="1"/>
    <col min="10754" max="10754" width="13.140625" style="12" customWidth="1"/>
    <col min="10755" max="10755" width="12.28515625" style="12" customWidth="1"/>
    <col min="10756" max="10758" width="11.85546875" style="12" customWidth="1"/>
    <col min="10759" max="10763" width="0" style="12" hidden="1" customWidth="1"/>
    <col min="10764" max="11008" width="9.140625" style="12"/>
    <col min="11009" max="11009" width="25.5703125" style="12" customWidth="1"/>
    <col min="11010" max="11010" width="13.140625" style="12" customWidth="1"/>
    <col min="11011" max="11011" width="12.28515625" style="12" customWidth="1"/>
    <col min="11012" max="11014" width="11.85546875" style="12" customWidth="1"/>
    <col min="11015" max="11019" width="0" style="12" hidden="1" customWidth="1"/>
    <col min="11020" max="11264" width="9.140625" style="12"/>
    <col min="11265" max="11265" width="25.5703125" style="12" customWidth="1"/>
    <col min="11266" max="11266" width="13.140625" style="12" customWidth="1"/>
    <col min="11267" max="11267" width="12.28515625" style="12" customWidth="1"/>
    <col min="11268" max="11270" width="11.85546875" style="12" customWidth="1"/>
    <col min="11271" max="11275" width="0" style="12" hidden="1" customWidth="1"/>
    <col min="11276" max="11520" width="9.140625" style="12"/>
    <col min="11521" max="11521" width="25.5703125" style="12" customWidth="1"/>
    <col min="11522" max="11522" width="13.140625" style="12" customWidth="1"/>
    <col min="11523" max="11523" width="12.28515625" style="12" customWidth="1"/>
    <col min="11524" max="11526" width="11.85546875" style="12" customWidth="1"/>
    <col min="11527" max="11531" width="0" style="12" hidden="1" customWidth="1"/>
    <col min="11532" max="11776" width="9.140625" style="12"/>
    <col min="11777" max="11777" width="25.5703125" style="12" customWidth="1"/>
    <col min="11778" max="11778" width="13.140625" style="12" customWidth="1"/>
    <col min="11779" max="11779" width="12.28515625" style="12" customWidth="1"/>
    <col min="11780" max="11782" width="11.85546875" style="12" customWidth="1"/>
    <col min="11783" max="11787" width="0" style="12" hidden="1" customWidth="1"/>
    <col min="11788" max="12032" width="9.140625" style="12"/>
    <col min="12033" max="12033" width="25.5703125" style="12" customWidth="1"/>
    <col min="12034" max="12034" width="13.140625" style="12" customWidth="1"/>
    <col min="12035" max="12035" width="12.28515625" style="12" customWidth="1"/>
    <col min="12036" max="12038" width="11.85546875" style="12" customWidth="1"/>
    <col min="12039" max="12043" width="0" style="12" hidden="1" customWidth="1"/>
    <col min="12044" max="12288" width="9.140625" style="12"/>
    <col min="12289" max="12289" width="25.5703125" style="12" customWidth="1"/>
    <col min="12290" max="12290" width="13.140625" style="12" customWidth="1"/>
    <col min="12291" max="12291" width="12.28515625" style="12" customWidth="1"/>
    <col min="12292" max="12294" width="11.85546875" style="12" customWidth="1"/>
    <col min="12295" max="12299" width="0" style="12" hidden="1" customWidth="1"/>
    <col min="12300" max="12544" width="9.140625" style="12"/>
    <col min="12545" max="12545" width="25.5703125" style="12" customWidth="1"/>
    <col min="12546" max="12546" width="13.140625" style="12" customWidth="1"/>
    <col min="12547" max="12547" width="12.28515625" style="12" customWidth="1"/>
    <col min="12548" max="12550" width="11.85546875" style="12" customWidth="1"/>
    <col min="12551" max="12555" width="0" style="12" hidden="1" customWidth="1"/>
    <col min="12556" max="12800" width="9.140625" style="12"/>
    <col min="12801" max="12801" width="25.5703125" style="12" customWidth="1"/>
    <col min="12802" max="12802" width="13.140625" style="12" customWidth="1"/>
    <col min="12803" max="12803" width="12.28515625" style="12" customWidth="1"/>
    <col min="12804" max="12806" width="11.85546875" style="12" customWidth="1"/>
    <col min="12807" max="12811" width="0" style="12" hidden="1" customWidth="1"/>
    <col min="12812" max="13056" width="9.140625" style="12"/>
    <col min="13057" max="13057" width="25.5703125" style="12" customWidth="1"/>
    <col min="13058" max="13058" width="13.140625" style="12" customWidth="1"/>
    <col min="13059" max="13059" width="12.28515625" style="12" customWidth="1"/>
    <col min="13060" max="13062" width="11.85546875" style="12" customWidth="1"/>
    <col min="13063" max="13067" width="0" style="12" hidden="1" customWidth="1"/>
    <col min="13068" max="13312" width="9.140625" style="12"/>
    <col min="13313" max="13313" width="25.5703125" style="12" customWidth="1"/>
    <col min="13314" max="13314" width="13.140625" style="12" customWidth="1"/>
    <col min="13315" max="13315" width="12.28515625" style="12" customWidth="1"/>
    <col min="13316" max="13318" width="11.85546875" style="12" customWidth="1"/>
    <col min="13319" max="13323" width="0" style="12" hidden="1" customWidth="1"/>
    <col min="13324" max="13568" width="9.140625" style="12"/>
    <col min="13569" max="13569" width="25.5703125" style="12" customWidth="1"/>
    <col min="13570" max="13570" width="13.140625" style="12" customWidth="1"/>
    <col min="13571" max="13571" width="12.28515625" style="12" customWidth="1"/>
    <col min="13572" max="13574" width="11.85546875" style="12" customWidth="1"/>
    <col min="13575" max="13579" width="0" style="12" hidden="1" customWidth="1"/>
    <col min="13580" max="13824" width="9.140625" style="12"/>
    <col min="13825" max="13825" width="25.5703125" style="12" customWidth="1"/>
    <col min="13826" max="13826" width="13.140625" style="12" customWidth="1"/>
    <col min="13827" max="13827" width="12.28515625" style="12" customWidth="1"/>
    <col min="13828" max="13830" width="11.85546875" style="12" customWidth="1"/>
    <col min="13831" max="13835" width="0" style="12" hidden="1" customWidth="1"/>
    <col min="13836" max="14080" width="9.140625" style="12"/>
    <col min="14081" max="14081" width="25.5703125" style="12" customWidth="1"/>
    <col min="14082" max="14082" width="13.140625" style="12" customWidth="1"/>
    <col min="14083" max="14083" width="12.28515625" style="12" customWidth="1"/>
    <col min="14084" max="14086" width="11.85546875" style="12" customWidth="1"/>
    <col min="14087" max="14091" width="0" style="12" hidden="1" customWidth="1"/>
    <col min="14092" max="14336" width="9.140625" style="12"/>
    <col min="14337" max="14337" width="25.5703125" style="12" customWidth="1"/>
    <col min="14338" max="14338" width="13.140625" style="12" customWidth="1"/>
    <col min="14339" max="14339" width="12.28515625" style="12" customWidth="1"/>
    <col min="14340" max="14342" width="11.85546875" style="12" customWidth="1"/>
    <col min="14343" max="14347" width="0" style="12" hidden="1" customWidth="1"/>
    <col min="14348" max="14592" width="9.140625" style="12"/>
    <col min="14593" max="14593" width="25.5703125" style="12" customWidth="1"/>
    <col min="14594" max="14594" width="13.140625" style="12" customWidth="1"/>
    <col min="14595" max="14595" width="12.28515625" style="12" customWidth="1"/>
    <col min="14596" max="14598" width="11.85546875" style="12" customWidth="1"/>
    <col min="14599" max="14603" width="0" style="12" hidden="1" customWidth="1"/>
    <col min="14604" max="14848" width="9.140625" style="12"/>
    <col min="14849" max="14849" width="25.5703125" style="12" customWidth="1"/>
    <col min="14850" max="14850" width="13.140625" style="12" customWidth="1"/>
    <col min="14851" max="14851" width="12.28515625" style="12" customWidth="1"/>
    <col min="14852" max="14854" width="11.85546875" style="12" customWidth="1"/>
    <col min="14855" max="14859" width="0" style="12" hidden="1" customWidth="1"/>
    <col min="14860" max="15104" width="9.140625" style="12"/>
    <col min="15105" max="15105" width="25.5703125" style="12" customWidth="1"/>
    <col min="15106" max="15106" width="13.140625" style="12" customWidth="1"/>
    <col min="15107" max="15107" width="12.28515625" style="12" customWidth="1"/>
    <col min="15108" max="15110" width="11.85546875" style="12" customWidth="1"/>
    <col min="15111" max="15115" width="0" style="12" hidden="1" customWidth="1"/>
    <col min="15116" max="15360" width="9.140625" style="12"/>
    <col min="15361" max="15361" width="25.5703125" style="12" customWidth="1"/>
    <col min="15362" max="15362" width="13.140625" style="12" customWidth="1"/>
    <col min="15363" max="15363" width="12.28515625" style="12" customWidth="1"/>
    <col min="15364" max="15366" width="11.85546875" style="12" customWidth="1"/>
    <col min="15367" max="15371" width="0" style="12" hidden="1" customWidth="1"/>
    <col min="15372" max="15616" width="9.140625" style="12"/>
    <col min="15617" max="15617" width="25.5703125" style="12" customWidth="1"/>
    <col min="15618" max="15618" width="13.140625" style="12" customWidth="1"/>
    <col min="15619" max="15619" width="12.28515625" style="12" customWidth="1"/>
    <col min="15620" max="15622" width="11.85546875" style="12" customWidth="1"/>
    <col min="15623" max="15627" width="0" style="12" hidden="1" customWidth="1"/>
    <col min="15628" max="15872" width="9.140625" style="12"/>
    <col min="15873" max="15873" width="25.5703125" style="12" customWidth="1"/>
    <col min="15874" max="15874" width="13.140625" style="12" customWidth="1"/>
    <col min="15875" max="15875" width="12.28515625" style="12" customWidth="1"/>
    <col min="15876" max="15878" width="11.85546875" style="12" customWidth="1"/>
    <col min="15879" max="15883" width="0" style="12" hidden="1" customWidth="1"/>
    <col min="15884" max="16128" width="9.140625" style="12"/>
    <col min="16129" max="16129" width="25.5703125" style="12" customWidth="1"/>
    <col min="16130" max="16130" width="13.140625" style="12" customWidth="1"/>
    <col min="16131" max="16131" width="12.28515625" style="12" customWidth="1"/>
    <col min="16132" max="16134" width="11.85546875" style="12" customWidth="1"/>
    <col min="16135" max="16139" width="0" style="12" hidden="1" customWidth="1"/>
    <col min="16140" max="16384" width="9.140625" style="12"/>
  </cols>
  <sheetData>
    <row r="6" spans="1:7" ht="13.5" thickBot="1"/>
    <row r="7" spans="1:7" ht="21" customHeight="1" thickBot="1">
      <c r="A7" s="97" t="s">
        <v>119</v>
      </c>
      <c r="B7" s="330" t="s">
        <v>120</v>
      </c>
      <c r="C7" s="331"/>
      <c r="D7" s="98" t="s">
        <v>159</v>
      </c>
      <c r="E7" s="98"/>
      <c r="F7" s="98"/>
    </row>
    <row r="8" spans="1:7" ht="15.75" thickBot="1">
      <c r="A8" s="99" t="s">
        <v>121</v>
      </c>
      <c r="B8" s="100">
        <v>45962</v>
      </c>
      <c r="C8" s="101"/>
      <c r="D8" s="102"/>
      <c r="E8" s="102"/>
      <c r="F8" s="102"/>
    </row>
    <row r="9" spans="1:7" ht="15.75" thickBot="1">
      <c r="A9" s="99" t="s">
        <v>122</v>
      </c>
      <c r="B9" s="103" t="s">
        <v>123</v>
      </c>
      <c r="C9" s="104"/>
      <c r="D9" s="102"/>
      <c r="E9" s="102"/>
      <c r="F9" s="102"/>
    </row>
    <row r="10" spans="1:7" ht="15.75" thickBot="1">
      <c r="A10" s="105" t="s">
        <v>35</v>
      </c>
      <c r="B10" s="103" t="s">
        <v>33</v>
      </c>
      <c r="C10" s="104"/>
      <c r="D10" s="102"/>
      <c r="E10" s="102"/>
      <c r="F10" s="102"/>
    </row>
    <row r="11" spans="1:7" ht="15.75" thickBot="1">
      <c r="A11" s="99" t="s">
        <v>124</v>
      </c>
      <c r="B11" s="103" t="s">
        <v>125</v>
      </c>
      <c r="C11" s="104"/>
      <c r="D11" s="102"/>
      <c r="E11" s="102"/>
      <c r="F11" s="102"/>
    </row>
    <row r="12" spans="1:7" ht="15.75" thickBot="1">
      <c r="A12" s="106" t="s">
        <v>126</v>
      </c>
      <c r="B12" s="107">
        <v>45962</v>
      </c>
      <c r="C12" s="108"/>
      <c r="D12" s="102"/>
      <c r="E12" s="102"/>
      <c r="F12" s="102"/>
    </row>
    <row r="13" spans="1:7" ht="15">
      <c r="A13" s="109"/>
      <c r="B13" s="110"/>
      <c r="C13" s="111"/>
      <c r="D13" s="102"/>
      <c r="E13" s="102"/>
      <c r="F13" s="102"/>
    </row>
    <row r="14" spans="1:7" ht="15">
      <c r="A14" s="109"/>
      <c r="B14" s="110"/>
      <c r="C14" s="111"/>
      <c r="D14" s="102"/>
      <c r="E14" s="102"/>
      <c r="F14" s="102"/>
    </row>
    <row r="15" spans="1:7" ht="15.75" thickBot="1">
      <c r="A15" s="109"/>
      <c r="B15" s="110"/>
      <c r="C15" s="111"/>
      <c r="D15" s="102"/>
      <c r="E15" s="102"/>
      <c r="F15" s="102"/>
    </row>
    <row r="16" spans="1:7" ht="36.6" customHeight="1" thickBot="1">
      <c r="A16" s="332" t="s">
        <v>127</v>
      </c>
      <c r="B16" s="333"/>
      <c r="C16" s="333"/>
      <c r="D16" s="333"/>
      <c r="E16" s="333"/>
      <c r="F16" s="333"/>
      <c r="G16" s="334"/>
    </row>
    <row r="17" spans="1:10" ht="15">
      <c r="A17" s="102"/>
      <c r="B17" s="102"/>
      <c r="C17" s="102"/>
      <c r="D17" s="112"/>
      <c r="E17" s="112"/>
      <c r="F17" s="112"/>
    </row>
    <row r="18" spans="1:10" ht="15">
      <c r="A18" s="102"/>
      <c r="B18" s="102"/>
      <c r="C18" s="102"/>
      <c r="D18" s="112"/>
      <c r="E18" s="112"/>
      <c r="F18" s="112"/>
    </row>
    <row r="19" spans="1:10" ht="15">
      <c r="A19" s="102"/>
      <c r="B19" s="102"/>
      <c r="C19" s="102"/>
      <c r="D19" s="112"/>
      <c r="E19" s="112"/>
      <c r="F19" s="112"/>
    </row>
    <row r="20" spans="1:10" ht="15.75" thickBot="1">
      <c r="A20" s="113"/>
      <c r="B20" s="113"/>
      <c r="C20" s="113"/>
      <c r="D20" s="113"/>
      <c r="E20" s="113"/>
      <c r="F20" s="113"/>
    </row>
    <row r="21" spans="1:10" ht="15.75">
      <c r="A21" s="114" t="s">
        <v>128</v>
      </c>
      <c r="B21" s="115"/>
      <c r="C21" s="116" t="s">
        <v>65</v>
      </c>
      <c r="D21" s="116" t="s">
        <v>66</v>
      </c>
      <c r="E21" s="116" t="s">
        <v>67</v>
      </c>
      <c r="F21" s="116" t="s">
        <v>68</v>
      </c>
    </row>
    <row r="22" spans="1:10" ht="15.75" thickBot="1">
      <c r="A22" s="117" t="s">
        <v>129</v>
      </c>
      <c r="B22" s="118" t="s">
        <v>153</v>
      </c>
      <c r="C22" s="119">
        <v>150000</v>
      </c>
      <c r="D22" s="119">
        <v>150000</v>
      </c>
      <c r="E22" s="119">
        <v>150000</v>
      </c>
      <c r="F22" s="119">
        <v>150000</v>
      </c>
    </row>
    <row r="23" spans="1:10" ht="16.5" thickBot="1">
      <c r="A23" s="120" t="s">
        <v>130</v>
      </c>
      <c r="B23" s="113"/>
      <c r="C23" s="113"/>
      <c r="D23" s="121"/>
      <c r="E23" s="121"/>
      <c r="F23" s="121"/>
      <c r="I23" s="12">
        <v>7180</v>
      </c>
      <c r="J23" s="12">
        <v>686156</v>
      </c>
    </row>
    <row r="24" spans="1:10" ht="15.75" thickBot="1">
      <c r="A24" s="122" t="s">
        <v>131</v>
      </c>
      <c r="B24" s="123" t="s">
        <v>132</v>
      </c>
      <c r="C24" s="175">
        <f>+Jauge!D8</f>
        <v>1929</v>
      </c>
      <c r="D24" s="175">
        <f>+Jauge!D9</f>
        <v>1918</v>
      </c>
      <c r="E24" s="175">
        <f>+Jauge!D10</f>
        <v>1911</v>
      </c>
      <c r="F24" s="175">
        <f>+Jauge!D11</f>
        <v>1916</v>
      </c>
      <c r="I24" s="12">
        <v>7170</v>
      </c>
      <c r="J24" s="12">
        <v>684784</v>
      </c>
    </row>
    <row r="25" spans="1:10" ht="15">
      <c r="A25" s="124" t="s">
        <v>133</v>
      </c>
      <c r="B25" s="125" t="s">
        <v>132</v>
      </c>
      <c r="C25" s="126"/>
      <c r="D25" s="126"/>
      <c r="E25" s="126"/>
      <c r="F25" s="126"/>
    </row>
    <row r="26" spans="1:10" ht="15">
      <c r="A26" s="127" t="s">
        <v>134</v>
      </c>
      <c r="B26" s="128" t="s">
        <v>132</v>
      </c>
      <c r="C26" s="129"/>
      <c r="D26" s="129"/>
      <c r="E26" s="129"/>
      <c r="F26" s="129"/>
    </row>
    <row r="27" spans="1:10" ht="15">
      <c r="A27" s="130" t="s">
        <v>135</v>
      </c>
      <c r="B27" s="128" t="s">
        <v>132</v>
      </c>
      <c r="C27" s="129"/>
      <c r="D27" s="129"/>
      <c r="E27" s="129"/>
      <c r="F27" s="129"/>
    </row>
    <row r="28" spans="1:10" ht="15">
      <c r="A28" s="130" t="s">
        <v>136</v>
      </c>
      <c r="B28" s="128" t="s">
        <v>132</v>
      </c>
      <c r="C28" s="129"/>
      <c r="D28" s="129"/>
      <c r="E28" s="129"/>
      <c r="F28" s="129"/>
    </row>
    <row r="29" spans="1:10" ht="15">
      <c r="A29" s="130" t="s">
        <v>137</v>
      </c>
      <c r="B29" s="128" t="s">
        <v>132</v>
      </c>
      <c r="C29" s="129"/>
      <c r="D29" s="129"/>
      <c r="E29" s="129"/>
      <c r="F29" s="129"/>
      <c r="I29" s="12">
        <v>0.58299999999999996</v>
      </c>
    </row>
    <row r="30" spans="1:10" ht="15">
      <c r="A30" s="127" t="s">
        <v>138</v>
      </c>
      <c r="B30" s="128" t="s">
        <v>132</v>
      </c>
      <c r="C30" s="131">
        <f>C24</f>
        <v>1929</v>
      </c>
      <c r="D30" s="131">
        <f>+D24</f>
        <v>1918</v>
      </c>
      <c r="E30" s="131">
        <f>E24</f>
        <v>1911</v>
      </c>
      <c r="F30" s="131">
        <f>+F24</f>
        <v>1916</v>
      </c>
    </row>
    <row r="31" spans="1:10" ht="15">
      <c r="A31" s="130" t="s">
        <v>139</v>
      </c>
      <c r="B31" s="128" t="s">
        <v>140</v>
      </c>
      <c r="C31" s="132">
        <f>IFERROR(VLOOKUP(C24,Bareme!A:B,2,FALSE),
IFERROR(VLOOKUP(C24,Bareme!C:D,2,FALSE),
IFERROR(VLOOKUP(C24,Bareme!E:F,2,FALSE),
IFERROR(VLOOKUP(C24,Bareme!G:H,2,FALSE),
VLOOKUP(C24,Bareme!I:J,2,FALSE)))))</f>
        <v>102993</v>
      </c>
      <c r="D31" s="132">
        <f>IFERROR(VLOOKUP(D24,Bareme!A:B,2,FALSE),
IFERROR(VLOOKUP(D24,Bareme!C:D,2,FALSE),
IFERROR(VLOOKUP(D24,Bareme!E:F,2,FALSE),
IFERROR(VLOOKUP(D24,Bareme!G:H,2,FALSE),
VLOOKUP(D24,Bareme!I:J,2,FALSE)))))</f>
        <v>102317</v>
      </c>
      <c r="E31" s="132">
        <f>IFERROR(VLOOKUP(E24,Bareme!A:B,2,FALSE),
IFERROR(VLOOKUP(E24,Bareme!C:D,2,FALSE),
IFERROR(VLOOKUP(E24,Bareme!E:F,2,FALSE),
IFERROR(VLOOKUP(E24,Bareme!G:H,2,FALSE),
VLOOKUP(E24,Bareme!I:J,2,FALSE)))))</f>
        <v>101887</v>
      </c>
      <c r="F31" s="132">
        <f>IFERROR(VLOOKUP(F24,Bareme!A:B,2,FALSE),
IFERROR(VLOOKUP(F24,Bareme!C:D,2,FALSE),
IFERROR(VLOOKUP(F24,Bareme!E:F,2,FALSE),
IFERROR(VLOOKUP(F24,Bareme!G:H,2,FALSE),
VLOOKUP(F24,Bareme!I:J,2,FALSE)))))</f>
        <v>102194</v>
      </c>
      <c r="I31" s="12">
        <v>1.1599999999999999</v>
      </c>
    </row>
    <row r="32" spans="1:10" ht="15">
      <c r="A32" s="133" t="s">
        <v>141</v>
      </c>
      <c r="B32" s="134" t="s">
        <v>154</v>
      </c>
      <c r="C32" s="135">
        <f>+Jauge!E8</f>
        <v>27</v>
      </c>
      <c r="D32" s="135">
        <f>+Jauge!E9</f>
        <v>28</v>
      </c>
      <c r="E32" s="135">
        <f>+Jauge!E10</f>
        <v>26.5</v>
      </c>
      <c r="F32" s="135">
        <f>+Jauge!E11</f>
        <v>27.5</v>
      </c>
    </row>
    <row r="33" spans="1:11" ht="15">
      <c r="A33" s="133" t="s">
        <v>142</v>
      </c>
      <c r="B33" s="134"/>
      <c r="C33" s="136">
        <v>1</v>
      </c>
      <c r="D33" s="136">
        <v>1</v>
      </c>
      <c r="E33" s="136">
        <v>1</v>
      </c>
      <c r="F33" s="136">
        <v>1</v>
      </c>
      <c r="I33" s="12">
        <f>+I31/1000</f>
        <v>1.16E-3</v>
      </c>
      <c r="K33" s="12">
        <v>0.57599999999999996</v>
      </c>
    </row>
    <row r="34" spans="1:11" ht="15">
      <c r="A34" s="130" t="s">
        <v>143</v>
      </c>
      <c r="B34" s="134" t="str">
        <f>+B22</f>
        <v>Liters</v>
      </c>
      <c r="C34" s="137">
        <f>+C31*C33</f>
        <v>102993</v>
      </c>
      <c r="D34" s="137">
        <f>+D31*D33</f>
        <v>102317</v>
      </c>
      <c r="E34" s="137">
        <f>+E31*E33</f>
        <v>101887</v>
      </c>
      <c r="F34" s="137">
        <f>+F31*F33</f>
        <v>102194</v>
      </c>
      <c r="K34" s="12">
        <v>17</v>
      </c>
    </row>
    <row r="35" spans="1:11" ht="15">
      <c r="A35" s="130" t="s">
        <v>155</v>
      </c>
      <c r="B35" s="134" t="s">
        <v>156</v>
      </c>
      <c r="C35" s="138">
        <v>0.57199999999999995</v>
      </c>
      <c r="D35" s="138">
        <v>0.57199999999999995</v>
      </c>
      <c r="E35" s="138">
        <v>0.57199999999999995</v>
      </c>
      <c r="F35" s="138">
        <v>0.57199999999999995</v>
      </c>
      <c r="I35" s="12">
        <f>+I33*4</f>
        <v>4.64E-3</v>
      </c>
      <c r="K35" s="12">
        <f>+I33*2</f>
        <v>2.32E-3</v>
      </c>
    </row>
    <row r="36" spans="1:11" ht="15">
      <c r="A36" s="130" t="s">
        <v>144</v>
      </c>
      <c r="B36" s="134" t="s">
        <v>157</v>
      </c>
      <c r="C36" s="177">
        <v>0.97799999999999998</v>
      </c>
      <c r="D36" s="177">
        <v>0.97609999999999997</v>
      </c>
      <c r="E36" s="177">
        <v>0.97889999999999999</v>
      </c>
      <c r="F36" s="177">
        <v>0.97699999999999998</v>
      </c>
      <c r="K36" s="12">
        <f>+K33-K35</f>
        <v>0.57367999999999997</v>
      </c>
    </row>
    <row r="37" spans="1:11" ht="15">
      <c r="A37" s="130" t="s">
        <v>145</v>
      </c>
      <c r="B37" s="134" t="s">
        <v>158</v>
      </c>
      <c r="C37" s="137">
        <f>+C34*C36</f>
        <v>100727.15399999999</v>
      </c>
      <c r="D37" s="137">
        <f>+D34*D36</f>
        <v>99871.623699999996</v>
      </c>
      <c r="E37" s="137">
        <f>+E34*E36</f>
        <v>99737.184299999994</v>
      </c>
      <c r="F37" s="137">
        <f>+F34*F36</f>
        <v>99843.538</v>
      </c>
      <c r="I37" s="12">
        <f>+I29-I35</f>
        <v>0.57835999999999999</v>
      </c>
    </row>
    <row r="38" spans="1:11" ht="15">
      <c r="A38" s="130" t="s">
        <v>159</v>
      </c>
      <c r="B38" s="139" t="s">
        <v>159</v>
      </c>
      <c r="C38" s="137"/>
      <c r="D38" s="137"/>
      <c r="E38" s="137"/>
      <c r="F38" s="137"/>
    </row>
    <row r="39" spans="1:11" ht="15">
      <c r="A39" s="140" t="s">
        <v>155</v>
      </c>
      <c r="B39" s="134" t="s">
        <v>156</v>
      </c>
      <c r="C39" s="141">
        <f>+C35</f>
        <v>0.57199999999999995</v>
      </c>
      <c r="D39" s="141">
        <f>+D35</f>
        <v>0.57199999999999995</v>
      </c>
      <c r="E39" s="141">
        <f>+E35</f>
        <v>0.57199999999999995</v>
      </c>
      <c r="F39" s="141">
        <f>+F35</f>
        <v>0.57199999999999995</v>
      </c>
    </row>
    <row r="40" spans="1:11" ht="15.75" thickBot="1">
      <c r="A40" s="142" t="s">
        <v>160</v>
      </c>
      <c r="B40" s="143"/>
      <c r="C40" s="144">
        <f>+C37*C39/1000</f>
        <v>57.615932087999994</v>
      </c>
      <c r="D40" s="144">
        <f>+D37*D39/1000</f>
        <v>57.126568756399998</v>
      </c>
      <c r="E40" s="144">
        <f>+E37*E39/1000</f>
        <v>57.049669419599986</v>
      </c>
      <c r="F40" s="144">
        <f>+F37*F39/1000</f>
        <v>57.110503735999998</v>
      </c>
    </row>
    <row r="41" spans="1:11" ht="16.5" thickBot="1">
      <c r="A41" s="145" t="s">
        <v>146</v>
      </c>
      <c r="B41" s="113"/>
      <c r="C41" s="113"/>
      <c r="D41" s="113"/>
      <c r="E41" s="113"/>
      <c r="F41" s="113"/>
      <c r="J41" s="12" t="e">
        <f>+#REF!*#REF!/1000</f>
        <v>#REF!</v>
      </c>
    </row>
    <row r="42" spans="1:11" ht="15">
      <c r="A42" s="146" t="s">
        <v>147</v>
      </c>
      <c r="B42" s="147" t="str">
        <f>+B34</f>
        <v>Liters</v>
      </c>
      <c r="C42" s="148">
        <f>+C22-C31</f>
        <v>47007</v>
      </c>
      <c r="D42" s="148">
        <f>D22-D31</f>
        <v>47683</v>
      </c>
      <c r="E42" s="148">
        <f>+E22-E31</f>
        <v>48113</v>
      </c>
      <c r="F42" s="148">
        <f>F22-F31</f>
        <v>47806</v>
      </c>
    </row>
    <row r="43" spans="1:11" ht="15">
      <c r="A43" s="130" t="s">
        <v>141</v>
      </c>
      <c r="B43" s="134" t="s">
        <v>154</v>
      </c>
      <c r="C43" s="149">
        <f>+C32</f>
        <v>27</v>
      </c>
      <c r="D43" s="149">
        <f>+D32</f>
        <v>28</v>
      </c>
      <c r="E43" s="149">
        <f>+E32</f>
        <v>26.5</v>
      </c>
      <c r="F43" s="149">
        <f>+F32</f>
        <v>27.5</v>
      </c>
    </row>
    <row r="44" spans="1:11" ht="15">
      <c r="A44" s="130" t="s">
        <v>142</v>
      </c>
      <c r="B44" s="134"/>
      <c r="C44" s="136">
        <v>1</v>
      </c>
      <c r="D44" s="136">
        <v>1</v>
      </c>
      <c r="E44" s="136">
        <v>1</v>
      </c>
      <c r="F44" s="136">
        <v>1</v>
      </c>
    </row>
    <row r="45" spans="1:11" ht="15">
      <c r="A45" s="130" t="s">
        <v>143</v>
      </c>
      <c r="B45" s="134" t="str">
        <f>+B42</f>
        <v>Liters</v>
      </c>
      <c r="C45" s="137">
        <f>+C42*C44</f>
        <v>47007</v>
      </c>
      <c r="D45" s="137">
        <f>+D42*D44</f>
        <v>47683</v>
      </c>
      <c r="E45" s="137">
        <f>+E42*E44</f>
        <v>48113</v>
      </c>
      <c r="F45" s="137">
        <f>+F42*F44</f>
        <v>47806</v>
      </c>
    </row>
    <row r="46" spans="1:11" ht="15">
      <c r="A46" s="130" t="s">
        <v>148</v>
      </c>
      <c r="B46" s="134" t="s">
        <v>162</v>
      </c>
      <c r="C46" s="150">
        <f>+Jauge!F8</f>
        <v>2.4</v>
      </c>
      <c r="D46" s="150">
        <f>+Jauge!F9</f>
        <v>2.5</v>
      </c>
      <c r="E46" s="150">
        <f>+Jauge!F10</f>
        <v>2.5</v>
      </c>
      <c r="F46" s="150">
        <f>+Jauge!F11</f>
        <v>2.4</v>
      </c>
    </row>
    <row r="47" spans="1:11" ht="15">
      <c r="A47" s="130" t="s">
        <v>169</v>
      </c>
      <c r="B47" s="134" t="s">
        <v>162</v>
      </c>
      <c r="C47" s="151">
        <f>+C46+1.01325</f>
        <v>3.4132499999999997</v>
      </c>
      <c r="D47" s="151">
        <f>+D46+1.01325</f>
        <v>3.5132500000000002</v>
      </c>
      <c r="E47" s="151">
        <f>+E46+1.01325</f>
        <v>3.5132500000000002</v>
      </c>
      <c r="F47" s="151">
        <f>+F46+1.01325</f>
        <v>3.4132499999999997</v>
      </c>
    </row>
    <row r="48" spans="1:11" ht="15">
      <c r="A48" s="130" t="s">
        <v>161</v>
      </c>
      <c r="B48" s="134" t="s">
        <v>162</v>
      </c>
      <c r="C48" s="151"/>
      <c r="D48" s="151"/>
      <c r="E48" s="151"/>
      <c r="F48" s="151"/>
    </row>
    <row r="49" spans="1:8" ht="15">
      <c r="A49" s="130" t="s">
        <v>163</v>
      </c>
      <c r="B49" s="134" t="str">
        <f>+B48</f>
        <v>Bar</v>
      </c>
      <c r="C49" s="151"/>
      <c r="D49" s="151"/>
      <c r="E49" s="151"/>
      <c r="F49" s="151"/>
    </row>
    <row r="50" spans="1:8" ht="15">
      <c r="A50" s="130" t="s">
        <v>164</v>
      </c>
      <c r="B50" s="134" t="s">
        <v>165</v>
      </c>
      <c r="C50" s="152">
        <v>58.124000000000002</v>
      </c>
      <c r="D50" s="152">
        <v>58.124000000000002</v>
      </c>
      <c r="E50" s="152">
        <v>58.124000000000002</v>
      </c>
      <c r="F50" s="152">
        <v>58.124000000000002</v>
      </c>
    </row>
    <row r="51" spans="1:8" ht="15">
      <c r="A51" s="153" t="s">
        <v>166</v>
      </c>
      <c r="B51" s="134" t="s">
        <v>167</v>
      </c>
      <c r="C51" s="154">
        <f>+(12.027*C47*C50/(273.15+C43))/1000</f>
        <v>7.949550201769115E-3</v>
      </c>
      <c r="D51" s="154">
        <f>+(12.027*D47*D50/(273.15+D43))/1000</f>
        <v>8.1552821778548921E-3</v>
      </c>
      <c r="E51" s="154">
        <f>+(12.027*E47*E50/(273.15+E43))/1000</f>
        <v>8.1961062167895896E-3</v>
      </c>
      <c r="F51" s="154">
        <f>+(12.027*F47*F50/(273.15+F43))/1000</f>
        <v>7.9363295960784962E-3</v>
      </c>
      <c r="H51" s="155"/>
    </row>
    <row r="52" spans="1:8" ht="15">
      <c r="A52" s="156" t="s">
        <v>159</v>
      </c>
      <c r="B52" s="157"/>
      <c r="C52" s="158" t="s">
        <v>159</v>
      </c>
      <c r="D52" s="158" t="s">
        <v>159</v>
      </c>
      <c r="E52" s="158" t="s">
        <v>159</v>
      </c>
      <c r="F52" s="158" t="s">
        <v>159</v>
      </c>
    </row>
    <row r="53" spans="1:8" ht="15">
      <c r="A53" s="156" t="s">
        <v>159</v>
      </c>
      <c r="B53" s="159" t="s">
        <v>159</v>
      </c>
      <c r="C53" s="160" t="s">
        <v>159</v>
      </c>
      <c r="D53" s="160" t="s">
        <v>159</v>
      </c>
      <c r="E53" s="160" t="s">
        <v>159</v>
      </c>
      <c r="F53" s="160" t="s">
        <v>159</v>
      </c>
    </row>
    <row r="54" spans="1:8" ht="15">
      <c r="A54" s="156" t="s">
        <v>159</v>
      </c>
      <c r="B54" s="157" t="s">
        <v>159</v>
      </c>
      <c r="C54" s="161" t="s">
        <v>159</v>
      </c>
      <c r="D54" s="161" t="s">
        <v>159</v>
      </c>
      <c r="E54" s="161" t="s">
        <v>159</v>
      </c>
      <c r="F54" s="161" t="s">
        <v>159</v>
      </c>
    </row>
    <row r="55" spans="1:8" ht="15.75" thickBot="1">
      <c r="A55" s="162" t="s">
        <v>168</v>
      </c>
      <c r="B55" s="163" t="s">
        <v>160</v>
      </c>
      <c r="C55" s="144">
        <f>+C45*C51/1000</f>
        <v>0.3736845063345608</v>
      </c>
      <c r="D55" s="144">
        <f>+D45*D51/1000</f>
        <v>0.38886832008665484</v>
      </c>
      <c r="E55" s="144">
        <f>+E45*E51/1000</f>
        <v>0.39433925840839756</v>
      </c>
      <c r="F55" s="144">
        <f>+F45*F51/1000</f>
        <v>0.3794041726701286</v>
      </c>
    </row>
    <row r="56" spans="1:8" ht="16.5" thickBot="1">
      <c r="A56" s="164" t="s">
        <v>149</v>
      </c>
      <c r="B56" s="165"/>
      <c r="C56" s="165"/>
      <c r="D56" s="166"/>
      <c r="E56" s="166"/>
      <c r="F56" s="166"/>
    </row>
    <row r="57" spans="1:8" ht="15">
      <c r="A57" s="167" t="s">
        <v>160</v>
      </c>
      <c r="B57" s="168"/>
      <c r="C57" s="169">
        <f>C40+C55</f>
        <v>57.989616594334557</v>
      </c>
      <c r="D57" s="169">
        <f>D40+D55</f>
        <v>57.515437076486656</v>
      </c>
      <c r="E57" s="169">
        <f>E40+E55</f>
        <v>57.444008678008387</v>
      </c>
      <c r="F57" s="169">
        <f>F40+F55</f>
        <v>57.489907908670126</v>
      </c>
    </row>
    <row r="58" spans="1:8" ht="15.75" thickBot="1">
      <c r="A58" s="335"/>
      <c r="B58" s="336"/>
      <c r="C58" s="336"/>
      <c r="D58" s="336"/>
      <c r="E58" s="336"/>
      <c r="F58" s="336"/>
    </row>
    <row r="59" spans="1:8" ht="15.75">
      <c r="A59" s="170" t="s">
        <v>57</v>
      </c>
      <c r="B59" s="337">
        <f>C40+D40+E40+F40</f>
        <v>228.90267399999996</v>
      </c>
      <c r="C59" s="338"/>
      <c r="D59" s="338"/>
      <c r="E59" s="338"/>
      <c r="F59" s="339"/>
    </row>
    <row r="60" spans="1:8" ht="15.75">
      <c r="A60" s="171" t="s">
        <v>59</v>
      </c>
      <c r="B60" s="340">
        <f>C55+D55+E55+F55</f>
        <v>1.5362962574997416</v>
      </c>
      <c r="C60" s="341"/>
      <c r="D60" s="341"/>
      <c r="E60" s="341"/>
      <c r="F60" s="342"/>
    </row>
    <row r="61" spans="1:8" ht="16.5" thickBot="1">
      <c r="A61" s="172" t="s">
        <v>60</v>
      </c>
      <c r="B61" s="343">
        <f>B59+B60</f>
        <v>230.4389702574997</v>
      </c>
      <c r="C61" s="344"/>
      <c r="D61" s="344"/>
      <c r="E61" s="344"/>
      <c r="F61" s="345"/>
    </row>
    <row r="63" spans="1:8" ht="13.5" thickBot="1"/>
    <row r="64" spans="1:8" ht="26.1" customHeight="1" thickBot="1">
      <c r="A64" s="327" t="s">
        <v>150</v>
      </c>
      <c r="B64" s="328"/>
      <c r="C64" s="328"/>
      <c r="D64" s="328"/>
      <c r="E64" s="328"/>
      <c r="F64" s="328"/>
    </row>
    <row r="69" spans="1:7">
      <c r="A69" s="173" t="s">
        <v>151</v>
      </c>
    </row>
    <row r="71" spans="1:7">
      <c r="A71" s="329" t="s">
        <v>152</v>
      </c>
      <c r="B71" s="329"/>
      <c r="G71" s="174"/>
    </row>
  </sheetData>
  <protectedRanges>
    <protectedRange sqref="E36" name="Plage1_3"/>
  </protectedRanges>
  <mergeCells count="8">
    <mergeCell ref="A64:F64"/>
    <mergeCell ref="A71:B71"/>
    <mergeCell ref="B7:C7"/>
    <mergeCell ref="A16:G16"/>
    <mergeCell ref="A58:F58"/>
    <mergeCell ref="B59:F59"/>
    <mergeCell ref="B60:F60"/>
    <mergeCell ref="B61:F61"/>
  </mergeCells>
  <pageMargins left="0.7" right="0.7" top="0.75" bottom="0.75" header="0.3" footer="0.3"/>
  <pageSetup paperSize="9" scale="66" orientation="portrait" r:id="rId1"/>
  <headerFooter alignWithMargins="0"/>
  <colBreaks count="1" manualBreakCount="1">
    <brk id="6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361DF-A953-4D5D-B09F-DF3D050A246B}">
  <sheetPr codeName="Feuil10">
    <tabColor rgb="FF0070C0"/>
  </sheetPr>
  <dimension ref="A1:G48"/>
  <sheetViews>
    <sheetView zoomScale="93" workbookViewId="0">
      <selection activeCell="C31" sqref="C31"/>
    </sheetView>
  </sheetViews>
  <sheetFormatPr baseColWidth="10" defaultColWidth="11.42578125" defaultRowHeight="15"/>
  <cols>
    <col min="1" max="1" width="9.7109375" customWidth="1"/>
    <col min="2" max="2" width="19.7109375" customWidth="1"/>
    <col min="3" max="3" width="20.7109375" customWidth="1"/>
    <col min="4" max="4" width="9.28515625" customWidth="1"/>
    <col min="5" max="5" width="19.7109375" customWidth="1"/>
    <col min="6" max="6" width="20.7109375" customWidth="1"/>
    <col min="7" max="7" width="15.42578125" customWidth="1"/>
  </cols>
  <sheetData>
    <row r="1" spans="1:7" ht="15" customHeight="1">
      <c r="A1" s="346" t="s">
        <v>171</v>
      </c>
      <c r="B1" s="346"/>
      <c r="C1" s="346"/>
    </row>
    <row r="2" spans="1:7" ht="15" customHeight="1">
      <c r="A2" s="346"/>
      <c r="B2" s="346"/>
      <c r="C2" s="346"/>
    </row>
    <row r="3" spans="1:7" ht="15" customHeight="1">
      <c r="A3" s="346"/>
      <c r="B3" s="346"/>
      <c r="C3" s="346"/>
    </row>
    <row r="4" spans="1:7" ht="12" customHeight="1" thickBot="1"/>
    <row r="5" spans="1:7" ht="12" customHeight="1" thickBot="1">
      <c r="A5" s="182" t="s">
        <v>172</v>
      </c>
      <c r="B5" s="347" t="s">
        <v>173</v>
      </c>
      <c r="C5" s="348"/>
      <c r="E5" s="347" t="s">
        <v>174</v>
      </c>
      <c r="F5" s="348"/>
    </row>
    <row r="6" spans="1:7" ht="15.75" thickBot="1">
      <c r="B6" s="183" t="s">
        <v>175</v>
      </c>
      <c r="C6" s="183" t="s">
        <v>176</v>
      </c>
      <c r="E6" s="183" t="s">
        <v>175</v>
      </c>
      <c r="F6" s="183" t="s">
        <v>176</v>
      </c>
    </row>
    <row r="7" spans="1:7" ht="8.25" customHeight="1">
      <c r="B7" s="184"/>
      <c r="C7" s="184"/>
      <c r="E7" s="184"/>
      <c r="F7" s="184"/>
      <c r="G7" s="185"/>
    </row>
    <row r="8" spans="1:7">
      <c r="B8" s="186">
        <v>0</v>
      </c>
      <c r="C8" s="187">
        <v>23.5</v>
      </c>
      <c r="E8" s="186">
        <v>0.91800000000000004</v>
      </c>
      <c r="F8" s="187">
        <v>35</v>
      </c>
    </row>
    <row r="9" spans="1:7" ht="8.25" customHeight="1" thickBot="1">
      <c r="B9" s="188"/>
      <c r="C9" s="189"/>
      <c r="E9" s="188"/>
      <c r="F9" s="189"/>
    </row>
    <row r="10" spans="1:7" ht="12" customHeight="1">
      <c r="B10" s="184"/>
      <c r="C10" s="184"/>
      <c r="E10" s="184"/>
      <c r="F10" s="184"/>
    </row>
    <row r="11" spans="1:7" ht="12" customHeight="1">
      <c r="B11" s="190" t="s">
        <v>177</v>
      </c>
      <c r="C11" s="191" t="e">
        <f>B21</f>
        <v>#DIV/0!</v>
      </c>
      <c r="E11" s="190" t="s">
        <v>177</v>
      </c>
      <c r="F11" s="191">
        <f>E21</f>
        <v>0.98629999999999995</v>
      </c>
    </row>
    <row r="12" spans="1:7" ht="12.75" customHeight="1" thickBot="1">
      <c r="B12" s="188"/>
      <c r="C12" s="188"/>
      <c r="E12" s="188"/>
      <c r="F12" s="188"/>
    </row>
    <row r="14" spans="1:7">
      <c r="A14" t="s">
        <v>178</v>
      </c>
      <c r="B14">
        <f>INT((C8+0.125)*4)/4</f>
        <v>23.5</v>
      </c>
      <c r="C14">
        <f>B14-15</f>
        <v>8.5</v>
      </c>
      <c r="E14">
        <f>INT((F8+0.125)*4)/4</f>
        <v>35</v>
      </c>
      <c r="F14">
        <f>E14-15</f>
        <v>20</v>
      </c>
    </row>
    <row r="15" spans="1:7">
      <c r="A15" t="s">
        <v>179</v>
      </c>
      <c r="B15">
        <f>(INT(B8*1000+0.5))/1000</f>
        <v>0</v>
      </c>
      <c r="E15">
        <f>(INT(E8*1000+0.5))/1000</f>
        <v>0.91800000000000004</v>
      </c>
    </row>
    <row r="16" spans="1:7">
      <c r="A16" t="s">
        <v>180</v>
      </c>
      <c r="B16">
        <v>613.97230000000002</v>
      </c>
      <c r="E16">
        <v>0</v>
      </c>
    </row>
    <row r="17" spans="1:7">
      <c r="A17" t="s">
        <v>181</v>
      </c>
      <c r="B17">
        <v>0</v>
      </c>
      <c r="E17">
        <v>0.62780000000000002</v>
      </c>
    </row>
    <row r="18" spans="1:7">
      <c r="A18" t="s">
        <v>182</v>
      </c>
      <c r="B18">
        <f>1000*B15</f>
        <v>0</v>
      </c>
      <c r="E18">
        <f>1000*E15</f>
        <v>918</v>
      </c>
    </row>
    <row r="19" spans="1:7">
      <c r="A19" t="s">
        <v>183</v>
      </c>
      <c r="B19" t="e">
        <f>ROUND(($B$16/POWER(B18,2))+($B$17/B18),7)</f>
        <v>#DIV/0!</v>
      </c>
      <c r="E19">
        <f>ROUND((E16/POWER(E18,2))+(E17/E18),7)</f>
        <v>6.8389999999999998E-4</v>
      </c>
    </row>
    <row r="20" spans="1:7">
      <c r="A20" t="s">
        <v>184</v>
      </c>
      <c r="B20" t="e">
        <f>EXP(-B19*$C$14*(1+0.8*B19*$C$14))</f>
        <v>#DIV/0!</v>
      </c>
      <c r="E20">
        <f>EXP(-E19*F14*(1+0.8*E19*F14))</f>
        <v>0.9862674929507067</v>
      </c>
    </row>
    <row r="21" spans="1:7">
      <c r="A21" t="s">
        <v>184</v>
      </c>
      <c r="B21" t="e">
        <f>ROUND(B20,4)</f>
        <v>#DIV/0!</v>
      </c>
      <c r="E21">
        <f>ROUND(E20,4)</f>
        <v>0.98629999999999995</v>
      </c>
    </row>
    <row r="24" spans="1:7" ht="15.75" thickBot="1"/>
    <row r="25" spans="1:7" ht="12" customHeight="1" thickBot="1">
      <c r="A25" s="182" t="s">
        <v>172</v>
      </c>
      <c r="B25" s="347" t="s">
        <v>185</v>
      </c>
      <c r="C25" s="348"/>
      <c r="E25" s="349"/>
      <c r="F25" s="349"/>
    </row>
    <row r="26" spans="1:7" ht="12" customHeight="1" thickBot="1">
      <c r="B26" s="183" t="s">
        <v>175</v>
      </c>
      <c r="C26" s="183" t="s">
        <v>176</v>
      </c>
      <c r="E26" s="192"/>
      <c r="F26" s="192"/>
    </row>
    <row r="27" spans="1:7">
      <c r="B27" s="184"/>
      <c r="C27" s="184"/>
      <c r="G27" s="185"/>
    </row>
    <row r="28" spans="1:7">
      <c r="B28" s="186">
        <v>0.57199999999999995</v>
      </c>
      <c r="C28" s="187">
        <v>27.5</v>
      </c>
      <c r="E28" s="193"/>
      <c r="F28" s="193"/>
    </row>
    <row r="29" spans="1:7" ht="15.75" thickBot="1">
      <c r="B29" s="188"/>
      <c r="C29" s="189"/>
      <c r="F29" s="182"/>
    </row>
    <row r="30" spans="1:7">
      <c r="B30" s="184"/>
      <c r="C30" s="184"/>
    </row>
    <row r="31" spans="1:7">
      <c r="B31" s="190" t="s">
        <v>177</v>
      </c>
      <c r="C31" s="191">
        <f>B41</f>
        <v>0.97699999999999998</v>
      </c>
      <c r="E31" s="192"/>
      <c r="F31" s="194"/>
    </row>
    <row r="32" spans="1:7" ht="15.75" thickBot="1">
      <c r="B32" s="188"/>
      <c r="C32" s="188"/>
    </row>
    <row r="33" spans="1:5" ht="12" customHeight="1"/>
    <row r="34" spans="1:5" ht="12" customHeight="1">
      <c r="A34" t="s">
        <v>178</v>
      </c>
      <c r="B34">
        <f>INT((C28+0.125)*4)/4</f>
        <v>27.5</v>
      </c>
      <c r="C34">
        <f>B34-15</f>
        <v>12.5</v>
      </c>
    </row>
    <row r="35" spans="1:5" ht="12" customHeight="1">
      <c r="A35" t="s">
        <v>186</v>
      </c>
      <c r="B35">
        <f>(INT(B28*1000+0.5)/1000)</f>
        <v>0.57199999999999995</v>
      </c>
    </row>
    <row r="36" spans="1:5" ht="12" customHeight="1">
      <c r="A36" t="s">
        <v>180</v>
      </c>
      <c r="B36">
        <f>VLOOKUP(B38,A45:C48,2)</f>
        <v>346.4228</v>
      </c>
    </row>
    <row r="37" spans="1:5" ht="12" customHeight="1">
      <c r="A37" t="s">
        <v>181</v>
      </c>
      <c r="B37">
        <f>VLOOKUP(B38,A45:C48,3)</f>
        <v>0.43880000000000002</v>
      </c>
    </row>
    <row r="38" spans="1:5" ht="12" customHeight="1">
      <c r="A38" t="s">
        <v>186</v>
      </c>
      <c r="B38">
        <f>1000*B35</f>
        <v>572</v>
      </c>
    </row>
    <row r="39" spans="1:5" ht="12" customHeight="1">
      <c r="A39" t="s">
        <v>183</v>
      </c>
      <c r="B39">
        <f>ROUND((B36/POWER(B38,2))+(B37/B38),7)</f>
        <v>1.8259000000000001E-3</v>
      </c>
    </row>
    <row r="40" spans="1:5" ht="12" customHeight="1">
      <c r="A40" t="s">
        <v>184</v>
      </c>
      <c r="B40">
        <f>EXP(-B39*C34*(1+0.8*B39*C34))</f>
        <v>0.97702749129885236</v>
      </c>
    </row>
    <row r="41" spans="1:5" ht="12" customHeight="1">
      <c r="A41" t="s">
        <v>184</v>
      </c>
      <c r="B41">
        <f>ROUND(B40,4)</f>
        <v>0.97699999999999998</v>
      </c>
    </row>
    <row r="42" spans="1:5" ht="12" customHeight="1"/>
    <row r="43" spans="1:5" ht="12" customHeight="1"/>
    <row r="44" spans="1:5" ht="12" customHeight="1"/>
    <row r="45" spans="1:5" s="198" customFormat="1" ht="12.75" customHeight="1">
      <c r="A45" s="195">
        <v>500</v>
      </c>
      <c r="B45">
        <v>346.4228</v>
      </c>
      <c r="C45" s="196">
        <v>0.43880000000000002</v>
      </c>
      <c r="D45" s="197"/>
      <c r="E45" s="196"/>
    </row>
    <row r="46" spans="1:5">
      <c r="A46">
        <v>770.5</v>
      </c>
      <c r="B46">
        <v>2680.3206</v>
      </c>
      <c r="C46" s="192">
        <v>-3.3630000000000001E-3</v>
      </c>
      <c r="D46" s="182"/>
      <c r="E46" s="192"/>
    </row>
    <row r="47" spans="1:5">
      <c r="A47">
        <v>787.5</v>
      </c>
      <c r="B47">
        <v>594.54179999999997</v>
      </c>
      <c r="C47" s="192">
        <v>0</v>
      </c>
      <c r="D47" s="182"/>
      <c r="E47" s="192"/>
    </row>
    <row r="48" spans="1:5">
      <c r="A48">
        <v>839</v>
      </c>
      <c r="B48">
        <v>186.96960000000001</v>
      </c>
      <c r="C48">
        <v>0.48620000000000002</v>
      </c>
      <c r="E48" s="181"/>
    </row>
  </sheetData>
  <mergeCells count="5">
    <mergeCell ref="A1:C3"/>
    <mergeCell ref="B5:C5"/>
    <mergeCell ref="E5:F5"/>
    <mergeCell ref="B25:C25"/>
    <mergeCell ref="E25:F2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EEBF-1C75-43FB-9ECD-DB2F4180EA61}">
  <sheetPr codeName="Feuil9">
    <tabColor rgb="FF0070C0"/>
  </sheetPr>
  <dimension ref="A1:L619"/>
  <sheetViews>
    <sheetView topLeftCell="A361" workbookViewId="0">
      <selection activeCell="C363" sqref="C363"/>
    </sheetView>
  </sheetViews>
  <sheetFormatPr baseColWidth="10" defaultColWidth="8" defaultRowHeight="15"/>
  <cols>
    <col min="1" max="1" width="8.42578125" style="178" customWidth="1"/>
    <col min="2" max="2" width="13.42578125" style="180" customWidth="1"/>
    <col min="3" max="3" width="9.140625" style="179" customWidth="1"/>
    <col min="4" max="4" width="11.140625" style="180" customWidth="1"/>
    <col min="5" max="5" width="9.28515625" style="179" customWidth="1"/>
    <col min="6" max="6" width="12.140625" style="180" customWidth="1"/>
    <col min="7" max="7" width="10.5703125" style="179" customWidth="1"/>
    <col min="8" max="8" width="13.5703125" style="180" customWidth="1"/>
    <col min="9" max="9" width="7.85546875" style="178" customWidth="1"/>
    <col min="10" max="10" width="13.7109375" style="180" customWidth="1"/>
    <col min="11" max="16384" width="8" style="178"/>
  </cols>
  <sheetData>
    <row r="1" spans="1:12" ht="18.600000000000001" customHeight="1">
      <c r="A1" s="178">
        <v>0</v>
      </c>
      <c r="B1" s="180">
        <v>0</v>
      </c>
      <c r="C1" s="179">
        <v>31</v>
      </c>
      <c r="D1" s="180">
        <v>270</v>
      </c>
      <c r="E1" s="179">
        <v>62</v>
      </c>
      <c r="F1" s="180">
        <v>762</v>
      </c>
      <c r="G1" s="179">
        <v>93</v>
      </c>
      <c r="H1" s="180">
        <v>1395</v>
      </c>
      <c r="I1" s="178">
        <v>124</v>
      </c>
      <c r="J1" s="180">
        <v>2141</v>
      </c>
      <c r="L1" s="178">
        <v>65</v>
      </c>
    </row>
    <row r="2" spans="1:12" ht="20.25" customHeight="1">
      <c r="A2" s="178">
        <v>1</v>
      </c>
      <c r="B2" s="180">
        <v>2</v>
      </c>
      <c r="C2" s="179">
        <v>32</v>
      </c>
      <c r="D2" s="180">
        <v>283</v>
      </c>
      <c r="E2" s="179">
        <v>63</v>
      </c>
      <c r="F2" s="180">
        <v>780</v>
      </c>
      <c r="G2" s="179">
        <v>94</v>
      </c>
      <c r="H2" s="180">
        <v>1418</v>
      </c>
      <c r="I2" s="178">
        <v>125</v>
      </c>
      <c r="J2" s="180">
        <v>2167</v>
      </c>
      <c r="L2" s="178">
        <f>IFERROR(VLOOKUP(L1,A:B,2,FALSE),
IFERROR(VLOOKUP(L1,C:D,2,FALSE),
IFERROR(VLOOKUP(L1,E:F,2,FALSE),
IFERROR(VLOOKUP(L1,G:H,2,FALSE),
VLOOKUP(L1,I:J,2,FALSE)))))</f>
        <v>818</v>
      </c>
    </row>
    <row r="3" spans="1:12" ht="19.350000000000001" customHeight="1">
      <c r="A3" s="178">
        <v>2</v>
      </c>
      <c r="B3" s="180">
        <v>4</v>
      </c>
      <c r="C3" s="179">
        <v>33</v>
      </c>
      <c r="D3" s="180">
        <v>297</v>
      </c>
      <c r="E3" s="179">
        <v>64</v>
      </c>
      <c r="F3" s="180">
        <v>799</v>
      </c>
      <c r="G3" s="179">
        <v>95</v>
      </c>
      <c r="H3" s="180">
        <v>1440</v>
      </c>
      <c r="I3" s="178">
        <v>126</v>
      </c>
      <c r="J3" s="180">
        <v>2193</v>
      </c>
    </row>
    <row r="4" spans="1:12" ht="19.350000000000001" customHeight="1">
      <c r="A4" s="178">
        <v>3</v>
      </c>
      <c r="B4" s="180">
        <v>8</v>
      </c>
      <c r="C4" s="179">
        <v>34</v>
      </c>
      <c r="D4" s="180">
        <v>310</v>
      </c>
      <c r="E4" s="179">
        <v>65</v>
      </c>
      <c r="F4" s="180">
        <v>818</v>
      </c>
      <c r="G4" s="179">
        <v>96</v>
      </c>
      <c r="H4" s="180">
        <v>1463</v>
      </c>
      <c r="I4" s="178">
        <v>127</v>
      </c>
      <c r="J4" s="180">
        <v>2219</v>
      </c>
    </row>
    <row r="5" spans="1:12" ht="18.95" customHeight="1">
      <c r="A5" s="178">
        <v>4</v>
      </c>
      <c r="B5" s="180">
        <v>13</v>
      </c>
      <c r="C5" s="179">
        <v>35</v>
      </c>
      <c r="D5" s="180">
        <v>324</v>
      </c>
      <c r="E5" s="179">
        <v>66</v>
      </c>
      <c r="F5" s="180">
        <v>837</v>
      </c>
      <c r="G5" s="179">
        <v>97</v>
      </c>
      <c r="H5" s="180">
        <v>1486</v>
      </c>
      <c r="I5" s="178">
        <v>128</v>
      </c>
      <c r="J5" s="180">
        <v>2245</v>
      </c>
    </row>
    <row r="6" spans="1:12" ht="18.600000000000001" customHeight="1">
      <c r="A6" s="178">
        <v>5</v>
      </c>
      <c r="B6" s="180">
        <v>18</v>
      </c>
      <c r="C6" s="179">
        <v>36</v>
      </c>
      <c r="D6" s="180">
        <v>338</v>
      </c>
      <c r="E6" s="179">
        <v>67</v>
      </c>
      <c r="F6" s="180">
        <v>855</v>
      </c>
      <c r="G6" s="179">
        <v>98</v>
      </c>
      <c r="H6" s="180">
        <v>1509</v>
      </c>
      <c r="I6" s="178">
        <v>129</v>
      </c>
      <c r="J6" s="180">
        <v>2271</v>
      </c>
    </row>
    <row r="7" spans="1:12" ht="19.5" customHeight="1">
      <c r="A7" s="178">
        <v>6</v>
      </c>
      <c r="B7" s="180">
        <v>23</v>
      </c>
      <c r="C7" s="179">
        <v>37</v>
      </c>
      <c r="D7" s="180">
        <v>352</v>
      </c>
      <c r="E7" s="179">
        <v>68</v>
      </c>
      <c r="F7" s="180">
        <v>875</v>
      </c>
      <c r="G7" s="179">
        <v>99</v>
      </c>
      <c r="H7" s="180">
        <v>1532</v>
      </c>
      <c r="I7" s="178">
        <v>130</v>
      </c>
      <c r="J7" s="180">
        <v>2297</v>
      </c>
    </row>
    <row r="8" spans="1:12" ht="19.350000000000001" customHeight="1">
      <c r="A8" s="178">
        <v>7</v>
      </c>
      <c r="B8" s="180">
        <v>29</v>
      </c>
      <c r="C8" s="179">
        <v>38</v>
      </c>
      <c r="D8" s="180">
        <v>366</v>
      </c>
      <c r="E8" s="179">
        <v>69</v>
      </c>
      <c r="F8" s="180">
        <v>894</v>
      </c>
      <c r="G8" s="179">
        <v>100</v>
      </c>
      <c r="H8" s="180">
        <v>1555</v>
      </c>
      <c r="I8" s="178">
        <v>131</v>
      </c>
      <c r="J8" s="180">
        <v>2324</v>
      </c>
    </row>
    <row r="9" spans="1:12" ht="19.7" customHeight="1">
      <c r="A9" s="178">
        <v>8</v>
      </c>
      <c r="B9" s="180">
        <v>36</v>
      </c>
      <c r="C9" s="179">
        <v>39</v>
      </c>
      <c r="D9" s="180">
        <v>381</v>
      </c>
      <c r="E9" s="179">
        <v>70</v>
      </c>
      <c r="F9" s="180">
        <v>913</v>
      </c>
      <c r="G9" s="179">
        <v>101</v>
      </c>
      <c r="H9" s="180">
        <v>1578</v>
      </c>
      <c r="I9" s="178">
        <v>132</v>
      </c>
      <c r="J9" s="180">
        <v>2350</v>
      </c>
    </row>
    <row r="10" spans="1:12" ht="19.5" customHeight="1">
      <c r="A10" s="178">
        <v>9</v>
      </c>
      <c r="B10" s="180">
        <v>42</v>
      </c>
      <c r="C10" s="179">
        <v>40</v>
      </c>
      <c r="D10" s="180">
        <v>396</v>
      </c>
      <c r="E10" s="179">
        <v>71</v>
      </c>
      <c r="F10" s="180">
        <v>933</v>
      </c>
      <c r="G10" s="179">
        <v>102</v>
      </c>
      <c r="H10" s="180">
        <v>1601</v>
      </c>
      <c r="I10" s="178">
        <v>133</v>
      </c>
      <c r="J10" s="180">
        <v>2376</v>
      </c>
    </row>
    <row r="11" spans="1:12" ht="18.600000000000001" customHeight="1">
      <c r="A11" s="178">
        <v>10</v>
      </c>
      <c r="B11" s="180">
        <v>50</v>
      </c>
      <c r="C11" s="179">
        <v>41</v>
      </c>
      <c r="D11" s="180">
        <v>411</v>
      </c>
      <c r="E11" s="179">
        <v>72</v>
      </c>
      <c r="F11" s="180">
        <v>953</v>
      </c>
      <c r="G11" s="179">
        <v>103</v>
      </c>
      <c r="H11" s="180">
        <v>1625</v>
      </c>
      <c r="I11" s="178">
        <v>134</v>
      </c>
      <c r="J11" s="180">
        <v>2403</v>
      </c>
    </row>
    <row r="12" spans="1:12" ht="18.95" customHeight="1">
      <c r="A12" s="178">
        <v>11</v>
      </c>
      <c r="B12" s="180">
        <v>57</v>
      </c>
      <c r="C12" s="179">
        <v>42</v>
      </c>
      <c r="D12" s="180">
        <v>426</v>
      </c>
      <c r="E12" s="179">
        <v>73</v>
      </c>
      <c r="F12" s="180">
        <v>972</v>
      </c>
      <c r="G12" s="179">
        <v>104</v>
      </c>
      <c r="H12" s="180">
        <v>1648</v>
      </c>
      <c r="I12" s="178">
        <v>135</v>
      </c>
      <c r="J12" s="180">
        <v>2430</v>
      </c>
    </row>
    <row r="13" spans="1:12" ht="19.7" customHeight="1">
      <c r="A13" s="178">
        <v>12</v>
      </c>
      <c r="B13" s="180">
        <v>65</v>
      </c>
      <c r="C13" s="179">
        <v>43</v>
      </c>
      <c r="D13" s="180">
        <v>441</v>
      </c>
      <c r="E13" s="179">
        <v>74</v>
      </c>
      <c r="F13" s="180">
        <v>992</v>
      </c>
      <c r="G13" s="179">
        <v>105</v>
      </c>
      <c r="H13" s="180">
        <v>1672</v>
      </c>
      <c r="I13" s="178">
        <v>136</v>
      </c>
      <c r="J13" s="180">
        <v>2457</v>
      </c>
    </row>
    <row r="14" spans="1:12" ht="19.5" customHeight="1">
      <c r="A14" s="178">
        <v>13</v>
      </c>
      <c r="B14" s="180">
        <v>74</v>
      </c>
      <c r="C14" s="179">
        <v>44</v>
      </c>
      <c r="D14" s="180">
        <v>456</v>
      </c>
      <c r="E14" s="179">
        <v>75</v>
      </c>
      <c r="F14" s="180">
        <v>1012</v>
      </c>
      <c r="G14" s="179">
        <v>106</v>
      </c>
      <c r="H14" s="180">
        <v>1696</v>
      </c>
      <c r="I14" s="178">
        <v>137</v>
      </c>
      <c r="J14" s="180">
        <v>2483</v>
      </c>
    </row>
    <row r="15" spans="1:12" ht="18.2" customHeight="1">
      <c r="A15" s="178">
        <v>14</v>
      </c>
      <c r="B15" s="180">
        <v>82</v>
      </c>
      <c r="C15" s="179">
        <v>45</v>
      </c>
      <c r="D15" s="180">
        <v>472</v>
      </c>
      <c r="E15" s="179">
        <v>76</v>
      </c>
      <c r="F15" s="180">
        <v>1033</v>
      </c>
      <c r="G15" s="179">
        <v>107</v>
      </c>
      <c r="H15" s="180">
        <v>1719</v>
      </c>
      <c r="I15" s="178">
        <v>138</v>
      </c>
      <c r="J15" s="180">
        <v>2510</v>
      </c>
    </row>
    <row r="16" spans="1:12" ht="20.100000000000001" customHeight="1">
      <c r="A16" s="178">
        <v>15</v>
      </c>
      <c r="B16" s="180">
        <v>91</v>
      </c>
      <c r="C16" s="179">
        <v>46</v>
      </c>
      <c r="D16" s="180">
        <v>488</v>
      </c>
      <c r="E16" s="179">
        <v>77</v>
      </c>
      <c r="F16" s="180">
        <v>1053</v>
      </c>
      <c r="G16" s="179">
        <v>108</v>
      </c>
      <c r="H16" s="180">
        <v>1743</v>
      </c>
      <c r="I16" s="178">
        <v>139</v>
      </c>
      <c r="J16" s="180">
        <v>2537</v>
      </c>
    </row>
    <row r="17" spans="1:10" ht="19.7" customHeight="1">
      <c r="A17" s="178">
        <v>16</v>
      </c>
      <c r="B17" s="180">
        <v>100</v>
      </c>
      <c r="C17" s="179">
        <v>47</v>
      </c>
      <c r="D17" s="180">
        <v>504</v>
      </c>
      <c r="E17" s="179">
        <v>78</v>
      </c>
      <c r="F17" s="180">
        <v>1073</v>
      </c>
      <c r="G17" s="179">
        <v>109</v>
      </c>
      <c r="H17" s="180">
        <v>1768</v>
      </c>
      <c r="I17" s="178">
        <v>140</v>
      </c>
      <c r="J17" s="180">
        <v>2565</v>
      </c>
    </row>
    <row r="18" spans="1:10" ht="19.350000000000001" customHeight="1">
      <c r="A18" s="178">
        <v>17</v>
      </c>
      <c r="B18" s="180">
        <v>110</v>
      </c>
      <c r="C18" s="179">
        <v>48</v>
      </c>
      <c r="D18" s="180">
        <v>520</v>
      </c>
      <c r="E18" s="179">
        <v>79</v>
      </c>
      <c r="F18" s="180">
        <v>1094</v>
      </c>
      <c r="G18" s="179">
        <v>110</v>
      </c>
      <c r="H18" s="180">
        <v>1792</v>
      </c>
      <c r="I18" s="178">
        <v>141</v>
      </c>
      <c r="J18" s="180">
        <v>2592</v>
      </c>
    </row>
    <row r="19" spans="1:10" ht="18.2" customHeight="1">
      <c r="A19" s="178">
        <v>18</v>
      </c>
      <c r="B19" s="180">
        <v>120</v>
      </c>
      <c r="C19" s="179">
        <v>49</v>
      </c>
      <c r="D19" s="180">
        <v>536</v>
      </c>
      <c r="E19" s="179">
        <v>80</v>
      </c>
      <c r="F19" s="180">
        <v>1115</v>
      </c>
      <c r="G19" s="179">
        <v>111</v>
      </c>
      <c r="H19" s="180">
        <v>1816</v>
      </c>
      <c r="I19" s="178">
        <v>142</v>
      </c>
      <c r="J19" s="180">
        <v>2619</v>
      </c>
    </row>
    <row r="20" spans="1:10" ht="20.100000000000001" customHeight="1">
      <c r="A20" s="178">
        <v>19</v>
      </c>
      <c r="B20" s="180">
        <v>130</v>
      </c>
      <c r="C20" s="179">
        <v>50</v>
      </c>
      <c r="D20" s="180">
        <v>552</v>
      </c>
      <c r="E20" s="179">
        <v>81</v>
      </c>
      <c r="F20" s="180">
        <v>1136</v>
      </c>
      <c r="G20" s="179">
        <v>112</v>
      </c>
      <c r="H20" s="180">
        <v>1840</v>
      </c>
      <c r="I20" s="178">
        <v>143</v>
      </c>
      <c r="J20" s="180">
        <v>2647</v>
      </c>
    </row>
    <row r="21" spans="1:10" ht="19.5" customHeight="1">
      <c r="A21" s="178">
        <v>20</v>
      </c>
      <c r="B21" s="180">
        <v>140</v>
      </c>
      <c r="C21" s="179">
        <v>51</v>
      </c>
      <c r="D21" s="180">
        <v>569</v>
      </c>
      <c r="E21" s="179">
        <v>82</v>
      </c>
      <c r="F21" s="180">
        <v>1157</v>
      </c>
      <c r="G21" s="179">
        <v>113</v>
      </c>
      <c r="H21" s="180">
        <v>1865</v>
      </c>
      <c r="I21" s="178">
        <v>144</v>
      </c>
      <c r="J21" s="180">
        <v>2674</v>
      </c>
    </row>
    <row r="22" spans="1:10" ht="19.350000000000001" customHeight="1">
      <c r="A22" s="178">
        <v>21</v>
      </c>
      <c r="B22" s="180">
        <v>151</v>
      </c>
      <c r="C22" s="179">
        <v>52</v>
      </c>
      <c r="D22" s="180">
        <v>586</v>
      </c>
      <c r="E22" s="179">
        <v>83</v>
      </c>
      <c r="F22" s="180">
        <v>1178</v>
      </c>
      <c r="G22" s="179">
        <v>114</v>
      </c>
      <c r="H22" s="180">
        <v>1890</v>
      </c>
      <c r="I22" s="178">
        <v>145</v>
      </c>
      <c r="J22" s="180">
        <v>2702</v>
      </c>
    </row>
    <row r="23" spans="1:10" ht="19.350000000000001" customHeight="1">
      <c r="A23" s="178">
        <v>22</v>
      </c>
      <c r="B23" s="180">
        <v>162</v>
      </c>
      <c r="C23" s="179">
        <v>53</v>
      </c>
      <c r="D23" s="180">
        <v>603</v>
      </c>
      <c r="E23" s="179">
        <v>84</v>
      </c>
      <c r="F23" s="180">
        <v>1199</v>
      </c>
      <c r="G23" s="179">
        <v>115</v>
      </c>
      <c r="H23" s="180">
        <v>1914</v>
      </c>
      <c r="I23" s="178">
        <v>146</v>
      </c>
      <c r="J23" s="180">
        <v>2730</v>
      </c>
    </row>
    <row r="24" spans="1:10" ht="18.600000000000001" customHeight="1">
      <c r="A24" s="178">
        <v>23</v>
      </c>
      <c r="B24" s="180">
        <v>173</v>
      </c>
      <c r="C24" s="179">
        <v>54</v>
      </c>
      <c r="D24" s="180">
        <v>620</v>
      </c>
      <c r="E24" s="179">
        <v>85</v>
      </c>
      <c r="F24" s="180">
        <v>1220</v>
      </c>
      <c r="G24" s="179">
        <v>116</v>
      </c>
      <c r="H24" s="180">
        <v>1939</v>
      </c>
      <c r="I24" s="178">
        <v>147</v>
      </c>
      <c r="J24" s="180">
        <v>2757</v>
      </c>
    </row>
    <row r="25" spans="1:10" ht="19.7" customHeight="1">
      <c r="A25" s="178">
        <v>24</v>
      </c>
      <c r="B25" s="180">
        <v>184</v>
      </c>
      <c r="C25" s="179">
        <v>55</v>
      </c>
      <c r="D25" s="180">
        <v>637</v>
      </c>
      <c r="E25" s="179">
        <v>86</v>
      </c>
      <c r="F25" s="180">
        <v>1242</v>
      </c>
      <c r="G25" s="179">
        <v>117</v>
      </c>
      <c r="H25" s="180">
        <v>1964</v>
      </c>
      <c r="I25" s="178">
        <v>148</v>
      </c>
      <c r="J25" s="180">
        <v>2785</v>
      </c>
    </row>
    <row r="26" spans="1:10" ht="18.95" customHeight="1">
      <c r="A26" s="178">
        <v>25</v>
      </c>
      <c r="B26" s="180">
        <v>196</v>
      </c>
      <c r="C26" s="179">
        <v>56</v>
      </c>
      <c r="D26" s="180">
        <v>654</v>
      </c>
      <c r="E26" s="179">
        <v>87</v>
      </c>
      <c r="F26" s="180">
        <v>1263</v>
      </c>
      <c r="G26" s="179">
        <v>118</v>
      </c>
      <c r="H26" s="180">
        <v>1989</v>
      </c>
      <c r="I26" s="178">
        <v>149</v>
      </c>
      <c r="J26" s="180">
        <v>2813</v>
      </c>
    </row>
    <row r="27" spans="1:10" ht="19.5" customHeight="1">
      <c r="A27" s="178">
        <v>26</v>
      </c>
      <c r="B27" s="180">
        <v>208</v>
      </c>
      <c r="C27" s="179">
        <v>57</v>
      </c>
      <c r="D27" s="180">
        <v>672</v>
      </c>
      <c r="E27" s="179">
        <v>88</v>
      </c>
      <c r="F27" s="180">
        <v>1285</v>
      </c>
      <c r="G27" s="179">
        <v>119</v>
      </c>
      <c r="H27" s="180">
        <v>2014</v>
      </c>
      <c r="I27" s="178">
        <v>150</v>
      </c>
      <c r="J27" s="180">
        <v>2841</v>
      </c>
    </row>
    <row r="28" spans="1:10" ht="19.350000000000001" customHeight="1">
      <c r="A28" s="178">
        <v>27</v>
      </c>
      <c r="B28" s="180">
        <v>220</v>
      </c>
      <c r="C28" s="179">
        <v>58</v>
      </c>
      <c r="D28" s="180">
        <v>690</v>
      </c>
      <c r="E28" s="179">
        <v>89</v>
      </c>
      <c r="F28" s="180">
        <v>1307</v>
      </c>
      <c r="G28" s="179">
        <v>120</v>
      </c>
      <c r="H28" s="180">
        <v>2039</v>
      </c>
      <c r="I28" s="178">
        <v>151</v>
      </c>
      <c r="J28" s="180">
        <v>2869</v>
      </c>
    </row>
    <row r="29" spans="1:10" ht="19.5" customHeight="1">
      <c r="A29" s="178">
        <v>28</v>
      </c>
      <c r="B29" s="180">
        <v>232</v>
      </c>
      <c r="C29" s="179">
        <v>59</v>
      </c>
      <c r="D29" s="180">
        <v>708</v>
      </c>
      <c r="E29" s="179">
        <v>90</v>
      </c>
      <c r="F29" s="180">
        <v>1329</v>
      </c>
      <c r="G29" s="179">
        <v>121</v>
      </c>
      <c r="H29" s="180">
        <v>2065</v>
      </c>
      <c r="I29" s="178">
        <v>152</v>
      </c>
      <c r="J29" s="180">
        <v>2898</v>
      </c>
    </row>
    <row r="30" spans="1:10" ht="18.600000000000001" customHeight="1">
      <c r="A30" s="178">
        <v>29</v>
      </c>
      <c r="B30" s="180">
        <v>245</v>
      </c>
      <c r="C30" s="179">
        <v>60</v>
      </c>
      <c r="D30" s="180">
        <v>726</v>
      </c>
      <c r="E30" s="179">
        <v>91</v>
      </c>
      <c r="F30" s="180">
        <v>1351</v>
      </c>
      <c r="G30" s="179">
        <v>122</v>
      </c>
      <c r="H30" s="180">
        <v>2090</v>
      </c>
      <c r="I30" s="178">
        <v>153</v>
      </c>
      <c r="J30" s="180">
        <v>2926</v>
      </c>
    </row>
    <row r="31" spans="1:10" ht="21" customHeight="1">
      <c r="A31" s="178">
        <v>30</v>
      </c>
      <c r="B31" s="180">
        <v>257</v>
      </c>
      <c r="C31" s="179">
        <v>61</v>
      </c>
      <c r="D31" s="180">
        <v>744</v>
      </c>
      <c r="E31" s="179">
        <v>92</v>
      </c>
      <c r="F31" s="180">
        <v>1373</v>
      </c>
      <c r="G31" s="179">
        <v>123</v>
      </c>
      <c r="H31" s="180">
        <v>2116</v>
      </c>
      <c r="I31" s="178">
        <v>154</v>
      </c>
      <c r="J31" s="180">
        <v>2954</v>
      </c>
    </row>
    <row r="32" spans="1:10" ht="47.1" customHeight="1">
      <c r="A32" s="178">
        <v>155</v>
      </c>
      <c r="B32" s="180">
        <v>2983</v>
      </c>
      <c r="C32" s="179">
        <v>186</v>
      </c>
      <c r="D32" s="180">
        <v>3909</v>
      </c>
      <c r="E32" s="179">
        <v>217</v>
      </c>
      <c r="F32" s="180">
        <v>4909</v>
      </c>
      <c r="G32" s="179">
        <v>248</v>
      </c>
      <c r="H32" s="180">
        <v>5978</v>
      </c>
      <c r="I32" s="178">
        <v>279</v>
      </c>
      <c r="J32" s="180">
        <v>7110</v>
      </c>
    </row>
    <row r="33" spans="1:10">
      <c r="A33" s="178">
        <v>156</v>
      </c>
      <c r="B33" s="180">
        <v>3012</v>
      </c>
      <c r="C33" s="179">
        <v>187</v>
      </c>
      <c r="D33" s="180">
        <v>394</v>
      </c>
      <c r="E33" s="179">
        <v>218</v>
      </c>
      <c r="F33" s="180">
        <v>4943</v>
      </c>
      <c r="G33" s="179">
        <v>249</v>
      </c>
      <c r="H33" s="180">
        <v>6014</v>
      </c>
      <c r="I33" s="178">
        <v>280</v>
      </c>
      <c r="J33" s="180">
        <v>7147</v>
      </c>
    </row>
    <row r="34" spans="1:10">
      <c r="A34" s="178">
        <v>157</v>
      </c>
      <c r="B34" s="180">
        <v>3040</v>
      </c>
      <c r="C34" s="179">
        <v>188</v>
      </c>
      <c r="D34" s="180">
        <v>3971</v>
      </c>
      <c r="E34" s="179">
        <v>219</v>
      </c>
      <c r="F34" s="180">
        <v>4976</v>
      </c>
      <c r="G34" s="179">
        <v>250</v>
      </c>
      <c r="H34" s="180">
        <v>6049</v>
      </c>
      <c r="I34" s="178">
        <v>281</v>
      </c>
      <c r="J34" s="180">
        <v>7185</v>
      </c>
    </row>
    <row r="35" spans="1:10">
      <c r="A35" s="178">
        <v>158</v>
      </c>
      <c r="B35" s="180">
        <v>3069</v>
      </c>
      <c r="C35" s="179">
        <v>189</v>
      </c>
      <c r="D35" s="180">
        <v>4002</v>
      </c>
      <c r="E35" s="179">
        <v>220</v>
      </c>
      <c r="F35" s="180">
        <v>5010</v>
      </c>
      <c r="G35" s="179">
        <v>251</v>
      </c>
      <c r="H35" s="180">
        <v>6085</v>
      </c>
      <c r="I35" s="178">
        <v>282</v>
      </c>
      <c r="J35" s="180">
        <v>7222</v>
      </c>
    </row>
    <row r="36" spans="1:10">
      <c r="A36" s="178">
        <v>159</v>
      </c>
      <c r="B36" s="180">
        <v>3098</v>
      </c>
      <c r="C36" s="179">
        <v>190</v>
      </c>
      <c r="D36" s="180">
        <v>4034</v>
      </c>
      <c r="E36" s="179">
        <v>221</v>
      </c>
      <c r="F36" s="180">
        <v>5043</v>
      </c>
      <c r="G36" s="179">
        <v>252</v>
      </c>
      <c r="H36" s="180">
        <v>6121</v>
      </c>
      <c r="I36" s="178">
        <v>283</v>
      </c>
      <c r="J36" s="180">
        <v>7260</v>
      </c>
    </row>
    <row r="37" spans="1:10">
      <c r="A37" s="178">
        <v>160</v>
      </c>
      <c r="B37" s="180">
        <v>3127</v>
      </c>
      <c r="C37" s="179">
        <v>191</v>
      </c>
      <c r="D37" s="180">
        <v>4065</v>
      </c>
      <c r="E37" s="179">
        <v>222</v>
      </c>
      <c r="F37" s="180">
        <v>5077</v>
      </c>
      <c r="G37" s="179">
        <v>253</v>
      </c>
      <c r="H37" s="180">
        <v>6157</v>
      </c>
      <c r="I37" s="178">
        <v>284</v>
      </c>
      <c r="J37" s="180">
        <v>7298</v>
      </c>
    </row>
    <row r="38" spans="1:10">
      <c r="A38" s="178">
        <v>161</v>
      </c>
      <c r="B38" s="180">
        <v>3156</v>
      </c>
      <c r="C38" s="179">
        <v>192</v>
      </c>
      <c r="D38" s="180">
        <v>4097</v>
      </c>
      <c r="E38" s="179">
        <v>223</v>
      </c>
      <c r="F38" s="180">
        <v>5111</v>
      </c>
      <c r="G38" s="179">
        <v>254</v>
      </c>
      <c r="H38" s="180">
        <v>6192</v>
      </c>
      <c r="I38" s="178">
        <v>285</v>
      </c>
      <c r="J38" s="180">
        <v>7336</v>
      </c>
    </row>
    <row r="39" spans="1:10">
      <c r="A39" s="178">
        <v>162</v>
      </c>
      <c r="B39" s="180">
        <v>3185</v>
      </c>
      <c r="C39" s="179">
        <v>193</v>
      </c>
      <c r="D39" s="180">
        <v>4128</v>
      </c>
      <c r="E39" s="179">
        <v>224</v>
      </c>
      <c r="F39" s="180">
        <v>5145</v>
      </c>
      <c r="G39" s="179">
        <v>255</v>
      </c>
      <c r="H39" s="180">
        <v>6228</v>
      </c>
      <c r="I39" s="178">
        <v>286</v>
      </c>
      <c r="J39" s="180">
        <v>7373</v>
      </c>
    </row>
    <row r="40" spans="1:10">
      <c r="A40" s="178">
        <v>163</v>
      </c>
      <c r="B40" s="180">
        <v>3214</v>
      </c>
      <c r="C40" s="179">
        <v>194</v>
      </c>
      <c r="D40" s="180">
        <v>4160</v>
      </c>
      <c r="E40" s="179">
        <v>225</v>
      </c>
      <c r="F40" s="180">
        <v>5179</v>
      </c>
      <c r="G40" s="179">
        <v>256</v>
      </c>
      <c r="H40" s="180">
        <v>6264</v>
      </c>
      <c r="I40" s="178">
        <v>287</v>
      </c>
      <c r="J40" s="180">
        <v>7411</v>
      </c>
    </row>
    <row r="41" spans="1:10">
      <c r="A41" s="178">
        <v>164</v>
      </c>
      <c r="B41" s="180">
        <v>3243</v>
      </c>
      <c r="C41" s="179">
        <v>195</v>
      </c>
      <c r="D41" s="180">
        <v>4192</v>
      </c>
      <c r="E41" s="179">
        <v>226</v>
      </c>
      <c r="F41" s="180">
        <v>5213</v>
      </c>
      <c r="G41" s="179">
        <v>257</v>
      </c>
      <c r="H41" s="180">
        <v>6300</v>
      </c>
      <c r="I41" s="178">
        <v>288</v>
      </c>
      <c r="J41" s="180">
        <v>7449</v>
      </c>
    </row>
    <row r="42" spans="1:10">
      <c r="A42" s="178">
        <v>165</v>
      </c>
      <c r="B42" s="180">
        <v>3273</v>
      </c>
      <c r="C42" s="179">
        <v>196</v>
      </c>
      <c r="D42" s="180">
        <v>4223</v>
      </c>
      <c r="E42" s="179">
        <v>227</v>
      </c>
      <c r="F42" s="180">
        <v>5247</v>
      </c>
      <c r="G42" s="179">
        <v>258</v>
      </c>
      <c r="H42" s="180">
        <v>6337</v>
      </c>
      <c r="I42" s="178">
        <v>289</v>
      </c>
      <c r="J42" s="180">
        <v>7487</v>
      </c>
    </row>
    <row r="43" spans="1:10">
      <c r="A43" s="178">
        <v>166</v>
      </c>
      <c r="B43" s="180">
        <v>3302</v>
      </c>
      <c r="C43" s="179">
        <v>197</v>
      </c>
      <c r="D43" s="180">
        <v>4255</v>
      </c>
      <c r="E43" s="179">
        <v>228</v>
      </c>
      <c r="F43" s="180">
        <v>5281</v>
      </c>
      <c r="G43" s="179">
        <v>259</v>
      </c>
      <c r="H43" s="180">
        <v>6373</v>
      </c>
      <c r="I43" s="178">
        <v>290</v>
      </c>
      <c r="J43" s="180">
        <v>7525</v>
      </c>
    </row>
    <row r="44" spans="1:10">
      <c r="A44" s="178">
        <v>167</v>
      </c>
      <c r="B44" s="180">
        <v>3332</v>
      </c>
      <c r="C44" s="179">
        <v>198</v>
      </c>
      <c r="D44" s="180">
        <v>4287</v>
      </c>
      <c r="E44" s="179">
        <v>229</v>
      </c>
      <c r="F44" s="180">
        <v>5315</v>
      </c>
      <c r="G44" s="179">
        <v>260</v>
      </c>
      <c r="H44" s="180">
        <v>6409</v>
      </c>
      <c r="I44" s="178">
        <v>291</v>
      </c>
      <c r="J44" s="180">
        <v>7564</v>
      </c>
    </row>
    <row r="45" spans="1:10">
      <c r="A45" s="178">
        <v>168</v>
      </c>
      <c r="B45" s="180">
        <v>3361</v>
      </c>
      <c r="C45" s="179">
        <v>199</v>
      </c>
      <c r="D45" s="180">
        <v>4319</v>
      </c>
      <c r="E45" s="179">
        <v>230</v>
      </c>
      <c r="F45" s="180">
        <v>5349</v>
      </c>
      <c r="G45" s="179">
        <v>261</v>
      </c>
      <c r="H45" s="180">
        <v>6445</v>
      </c>
      <c r="I45" s="178">
        <v>292</v>
      </c>
      <c r="J45" s="180">
        <v>7602</v>
      </c>
    </row>
    <row r="46" spans="1:10">
      <c r="A46" s="178">
        <v>169</v>
      </c>
      <c r="B46" s="180">
        <v>3391</v>
      </c>
      <c r="C46" s="179">
        <v>200</v>
      </c>
      <c r="D46" s="180">
        <v>4352</v>
      </c>
      <c r="E46" s="179">
        <v>231</v>
      </c>
      <c r="F46" s="180">
        <v>5384</v>
      </c>
      <c r="G46" s="179">
        <v>262</v>
      </c>
      <c r="H46" s="180">
        <v>6482</v>
      </c>
      <c r="I46" s="178">
        <v>293</v>
      </c>
      <c r="J46" s="180">
        <v>7640</v>
      </c>
    </row>
    <row r="47" spans="1:10">
      <c r="A47" s="178">
        <v>170</v>
      </c>
      <c r="B47" s="180">
        <v>3421</v>
      </c>
      <c r="C47" s="179">
        <v>201</v>
      </c>
      <c r="D47" s="180">
        <v>4384</v>
      </c>
      <c r="E47" s="179">
        <v>232</v>
      </c>
      <c r="F47" s="180">
        <v>5418</v>
      </c>
      <c r="G47" s="179">
        <v>263</v>
      </c>
      <c r="H47" s="180">
        <v>6518</v>
      </c>
      <c r="I47" s="178">
        <v>294</v>
      </c>
      <c r="J47" s="180">
        <v>7678</v>
      </c>
    </row>
    <row r="48" spans="1:10">
      <c r="A48" s="178">
        <v>171</v>
      </c>
      <c r="B48" s="180">
        <v>3451</v>
      </c>
      <c r="C48" s="179">
        <v>202</v>
      </c>
      <c r="D48" s="180">
        <v>4416</v>
      </c>
      <c r="E48" s="179">
        <v>233</v>
      </c>
      <c r="F48" s="180">
        <v>5453</v>
      </c>
      <c r="G48" s="179">
        <v>264</v>
      </c>
      <c r="H48" s="180">
        <v>6555</v>
      </c>
      <c r="I48" s="178">
        <v>295</v>
      </c>
      <c r="J48" s="180">
        <v>7717</v>
      </c>
    </row>
    <row r="49" spans="1:10">
      <c r="A49" s="178">
        <v>172</v>
      </c>
      <c r="B49" s="180">
        <v>3481</v>
      </c>
      <c r="C49" s="179">
        <v>203</v>
      </c>
      <c r="D49" s="180">
        <v>4448</v>
      </c>
      <c r="E49" s="179">
        <v>234</v>
      </c>
      <c r="F49" s="180">
        <v>5487</v>
      </c>
      <c r="G49" s="179">
        <v>265</v>
      </c>
      <c r="H49" s="180">
        <v>6591</v>
      </c>
      <c r="I49" s="178">
        <v>296</v>
      </c>
      <c r="J49" s="180">
        <v>7755</v>
      </c>
    </row>
    <row r="50" spans="1:10">
      <c r="A50" s="178">
        <v>173</v>
      </c>
      <c r="B50" s="180">
        <v>3511</v>
      </c>
      <c r="C50" s="179">
        <v>204</v>
      </c>
      <c r="D50" s="180">
        <v>4481</v>
      </c>
      <c r="E50" s="179">
        <v>235</v>
      </c>
      <c r="F50" s="180">
        <v>5522</v>
      </c>
      <c r="G50" s="179">
        <v>266</v>
      </c>
      <c r="H50" s="180">
        <v>6628</v>
      </c>
      <c r="I50" s="178">
        <v>297</v>
      </c>
      <c r="J50" s="180">
        <v>7794</v>
      </c>
    </row>
    <row r="51" spans="1:10">
      <c r="A51" s="178">
        <v>174</v>
      </c>
      <c r="B51" s="180">
        <v>3541</v>
      </c>
      <c r="C51" s="179">
        <v>205</v>
      </c>
      <c r="D51" s="180">
        <v>4513</v>
      </c>
      <c r="E51" s="179">
        <v>236</v>
      </c>
      <c r="F51" s="180">
        <v>5557</v>
      </c>
      <c r="G51" s="179">
        <v>267</v>
      </c>
      <c r="H51" s="180">
        <v>6665</v>
      </c>
      <c r="I51" s="178">
        <v>298</v>
      </c>
      <c r="J51" s="180">
        <v>7832</v>
      </c>
    </row>
    <row r="52" spans="1:10">
      <c r="A52" s="178">
        <v>175</v>
      </c>
      <c r="B52" s="180">
        <v>3571</v>
      </c>
      <c r="C52" s="179">
        <v>206</v>
      </c>
      <c r="D52" s="180">
        <v>4546</v>
      </c>
      <c r="E52" s="179">
        <v>237</v>
      </c>
      <c r="F52" s="180">
        <v>5591</v>
      </c>
      <c r="G52" s="179">
        <v>268</v>
      </c>
      <c r="H52" s="180">
        <v>6701</v>
      </c>
      <c r="I52" s="178">
        <v>299</v>
      </c>
      <c r="J52" s="180">
        <v>7871</v>
      </c>
    </row>
    <row r="53" spans="1:10">
      <c r="A53" s="178">
        <v>176</v>
      </c>
      <c r="B53" s="180">
        <v>3601</v>
      </c>
      <c r="C53" s="179">
        <v>207</v>
      </c>
      <c r="D53" s="180">
        <v>4579</v>
      </c>
      <c r="E53" s="179">
        <v>238</v>
      </c>
      <c r="F53" s="180">
        <v>5626</v>
      </c>
      <c r="G53" s="179">
        <v>269</v>
      </c>
      <c r="H53" s="180">
        <v>6738</v>
      </c>
      <c r="I53" s="178">
        <v>300</v>
      </c>
      <c r="J53" s="180">
        <v>7909</v>
      </c>
    </row>
    <row r="54" spans="1:10">
      <c r="A54" s="178">
        <v>177</v>
      </c>
      <c r="B54" s="180">
        <v>3632</v>
      </c>
      <c r="C54" s="179">
        <v>208</v>
      </c>
      <c r="D54" s="180">
        <v>4611</v>
      </c>
      <c r="E54" s="179">
        <v>239</v>
      </c>
      <c r="F54" s="180">
        <v>5661</v>
      </c>
      <c r="G54" s="179">
        <v>270</v>
      </c>
      <c r="H54" s="180">
        <v>6775</v>
      </c>
      <c r="I54" s="178">
        <v>301</v>
      </c>
      <c r="J54" s="180">
        <v>7948</v>
      </c>
    </row>
    <row r="55" spans="1:10">
      <c r="A55" s="178">
        <v>178</v>
      </c>
      <c r="B55" s="180">
        <v>3662</v>
      </c>
      <c r="C55" s="179">
        <v>209</v>
      </c>
      <c r="D55" s="180">
        <v>4644</v>
      </c>
      <c r="E55" s="179">
        <v>240</v>
      </c>
      <c r="F55" s="180">
        <v>5696</v>
      </c>
      <c r="G55" s="179">
        <v>271</v>
      </c>
      <c r="H55" s="180">
        <v>6812</v>
      </c>
      <c r="I55" s="178">
        <v>302</v>
      </c>
      <c r="J55" s="180">
        <v>7987</v>
      </c>
    </row>
    <row r="56" spans="1:10">
      <c r="A56" s="178">
        <v>179</v>
      </c>
      <c r="B56" s="180">
        <v>3693</v>
      </c>
      <c r="C56" s="179">
        <v>210</v>
      </c>
      <c r="D56" s="180">
        <v>4677</v>
      </c>
      <c r="E56" s="179">
        <v>241</v>
      </c>
      <c r="F56" s="180">
        <v>5731</v>
      </c>
      <c r="G56" s="179">
        <v>272</v>
      </c>
      <c r="H56" s="180">
        <v>6849</v>
      </c>
      <c r="I56" s="178">
        <v>303</v>
      </c>
      <c r="J56" s="180">
        <v>8026</v>
      </c>
    </row>
    <row r="57" spans="1:10">
      <c r="A57" s="178">
        <v>180</v>
      </c>
      <c r="B57" s="180">
        <v>3723</v>
      </c>
      <c r="C57" s="179">
        <v>211</v>
      </c>
      <c r="D57" s="180">
        <v>4710</v>
      </c>
      <c r="E57" s="179">
        <v>242</v>
      </c>
      <c r="F57" s="180">
        <v>5766</v>
      </c>
      <c r="G57" s="179">
        <v>273</v>
      </c>
      <c r="H57" s="180">
        <v>6686</v>
      </c>
      <c r="I57" s="178">
        <v>304</v>
      </c>
      <c r="J57" s="180">
        <v>8065</v>
      </c>
    </row>
    <row r="58" spans="1:10">
      <c r="A58" s="178">
        <v>181</v>
      </c>
      <c r="B58" s="180">
        <v>3754</v>
      </c>
      <c r="C58" s="179">
        <v>212</v>
      </c>
      <c r="D58" s="180">
        <v>4743</v>
      </c>
      <c r="E58" s="179">
        <v>243</v>
      </c>
      <c r="F58" s="180">
        <v>5801</v>
      </c>
      <c r="G58" s="179">
        <v>274</v>
      </c>
      <c r="H58" s="180">
        <v>6923</v>
      </c>
      <c r="I58" s="178">
        <v>305</v>
      </c>
      <c r="J58" s="180">
        <v>8104</v>
      </c>
    </row>
    <row r="59" spans="1:10">
      <c r="A59" s="178">
        <v>182</v>
      </c>
      <c r="B59" s="180">
        <v>3785</v>
      </c>
      <c r="C59" s="179">
        <v>213</v>
      </c>
      <c r="D59" s="180">
        <v>4776</v>
      </c>
      <c r="E59" s="179">
        <v>244</v>
      </c>
      <c r="F59" s="180">
        <v>5837</v>
      </c>
      <c r="G59" s="179">
        <v>275</v>
      </c>
      <c r="H59" s="180">
        <v>6960</v>
      </c>
      <c r="I59" s="178">
        <v>306</v>
      </c>
      <c r="J59" s="180">
        <v>8143</v>
      </c>
    </row>
    <row r="60" spans="1:10">
      <c r="A60" s="178">
        <v>183</v>
      </c>
      <c r="B60" s="180">
        <v>3816</v>
      </c>
      <c r="C60" s="179">
        <v>214</v>
      </c>
      <c r="D60" s="180">
        <v>4809</v>
      </c>
      <c r="E60" s="179">
        <v>245</v>
      </c>
      <c r="F60" s="180">
        <v>5872</v>
      </c>
      <c r="G60" s="179">
        <v>276</v>
      </c>
      <c r="H60" s="180">
        <v>6998</v>
      </c>
      <c r="I60" s="178">
        <v>307</v>
      </c>
      <c r="J60" s="180">
        <v>8182</v>
      </c>
    </row>
    <row r="61" spans="1:10">
      <c r="A61" s="178">
        <v>184</v>
      </c>
      <c r="B61" s="180">
        <v>3846</v>
      </c>
      <c r="C61" s="179">
        <v>215</v>
      </c>
      <c r="D61" s="180">
        <v>4843</v>
      </c>
      <c r="E61" s="179">
        <v>246</v>
      </c>
      <c r="F61" s="180">
        <v>5907</v>
      </c>
      <c r="G61" s="179">
        <v>277</v>
      </c>
      <c r="H61" s="180">
        <v>7035</v>
      </c>
      <c r="I61" s="178">
        <v>308</v>
      </c>
      <c r="J61" s="180">
        <v>8221</v>
      </c>
    </row>
    <row r="62" spans="1:10">
      <c r="A62" s="178">
        <v>185</v>
      </c>
      <c r="B62" s="180">
        <v>3877</v>
      </c>
      <c r="C62" s="179">
        <v>216</v>
      </c>
      <c r="D62" s="180">
        <v>4876</v>
      </c>
      <c r="E62" s="179">
        <v>247</v>
      </c>
      <c r="F62" s="180">
        <v>5943</v>
      </c>
      <c r="G62" s="179">
        <v>278</v>
      </c>
      <c r="H62" s="180">
        <v>7072</v>
      </c>
      <c r="I62" s="178">
        <v>309</v>
      </c>
      <c r="J62" s="180">
        <v>8260</v>
      </c>
    </row>
    <row r="63" spans="1:10">
      <c r="A63" s="178">
        <v>310</v>
      </c>
      <c r="B63" s="180">
        <v>8299</v>
      </c>
      <c r="C63" s="179">
        <v>341</v>
      </c>
      <c r="D63" s="180">
        <v>9542</v>
      </c>
      <c r="E63" s="179">
        <v>372</v>
      </c>
      <c r="F63" s="180">
        <v>10836</v>
      </c>
      <c r="G63" s="179">
        <v>403</v>
      </c>
      <c r="H63" s="180">
        <v>12177</v>
      </c>
      <c r="I63" s="178">
        <v>434</v>
      </c>
      <c r="J63" s="180">
        <v>13561</v>
      </c>
    </row>
    <row r="64" spans="1:10">
      <c r="A64" s="178">
        <v>311</v>
      </c>
      <c r="B64" s="180">
        <v>8338</v>
      </c>
      <c r="C64" s="179">
        <v>342</v>
      </c>
      <c r="D64" s="180">
        <v>9583</v>
      </c>
      <c r="E64" s="179">
        <v>373</v>
      </c>
      <c r="F64" s="180">
        <v>10879</v>
      </c>
      <c r="G64" s="179">
        <v>404</v>
      </c>
      <c r="H64" s="180">
        <v>12221</v>
      </c>
      <c r="I64" s="178">
        <v>435</v>
      </c>
      <c r="J64" s="180">
        <v>13607</v>
      </c>
    </row>
    <row r="65" spans="1:10">
      <c r="A65" s="178">
        <v>312</v>
      </c>
      <c r="B65" s="180">
        <v>8378</v>
      </c>
      <c r="C65" s="179">
        <v>343</v>
      </c>
      <c r="D65" s="180">
        <v>9624</v>
      </c>
      <c r="E65" s="179">
        <v>374</v>
      </c>
      <c r="F65" s="180">
        <v>10921</v>
      </c>
      <c r="G65" s="179">
        <v>405</v>
      </c>
      <c r="H65" s="180">
        <v>12265</v>
      </c>
      <c r="I65" s="178">
        <v>436</v>
      </c>
      <c r="J65" s="180">
        <v>13652</v>
      </c>
    </row>
    <row r="66" spans="1:10">
      <c r="A66" s="178">
        <v>313</v>
      </c>
      <c r="B66" s="180">
        <v>8417</v>
      </c>
      <c r="C66" s="179">
        <v>344</v>
      </c>
      <c r="D66" s="180">
        <v>9666</v>
      </c>
      <c r="E66" s="179">
        <v>375</v>
      </c>
      <c r="F66" s="180">
        <v>10964</v>
      </c>
      <c r="G66" s="179">
        <v>406</v>
      </c>
      <c r="H66" s="180">
        <v>12309</v>
      </c>
      <c r="I66" s="178">
        <v>437</v>
      </c>
      <c r="J66" s="180">
        <v>13698</v>
      </c>
    </row>
    <row r="67" spans="1:10">
      <c r="A67" s="178">
        <v>314</v>
      </c>
      <c r="B67" s="180">
        <v>8457</v>
      </c>
      <c r="C67" s="179">
        <v>345</v>
      </c>
      <c r="D67" s="180">
        <v>9707</v>
      </c>
      <c r="E67" s="179">
        <v>376</v>
      </c>
      <c r="F67" s="180">
        <v>11006</v>
      </c>
      <c r="G67" s="179">
        <v>407</v>
      </c>
      <c r="H67" s="180">
        <v>12353</v>
      </c>
      <c r="I67" s="178">
        <v>438</v>
      </c>
      <c r="J67" s="180">
        <v>13743</v>
      </c>
    </row>
    <row r="68" spans="1:10">
      <c r="A68" s="178">
        <v>315</v>
      </c>
      <c r="B68" s="180">
        <v>8496</v>
      </c>
      <c r="C68" s="179">
        <v>346</v>
      </c>
      <c r="D68" s="180">
        <v>9748</v>
      </c>
      <c r="E68" s="179">
        <v>377</v>
      </c>
      <c r="F68" s="180">
        <v>11049</v>
      </c>
      <c r="G68" s="179">
        <v>408</v>
      </c>
      <c r="H68" s="180">
        <v>12397</v>
      </c>
      <c r="I68" s="178">
        <v>439</v>
      </c>
      <c r="J68" s="180">
        <v>13789</v>
      </c>
    </row>
    <row r="69" spans="1:10">
      <c r="A69" s="178">
        <v>316</v>
      </c>
      <c r="B69" s="180">
        <v>8536</v>
      </c>
      <c r="C69" s="179">
        <v>347</v>
      </c>
      <c r="D69" s="180">
        <v>9789</v>
      </c>
      <c r="E69" s="179">
        <v>378</v>
      </c>
      <c r="F69" s="180">
        <v>11092</v>
      </c>
      <c r="G69" s="179">
        <v>409</v>
      </c>
      <c r="H69" s="180">
        <v>12441</v>
      </c>
      <c r="I69" s="178">
        <v>440</v>
      </c>
      <c r="J69" s="180">
        <v>13834</v>
      </c>
    </row>
    <row r="70" spans="1:10">
      <c r="A70" s="178">
        <v>317</v>
      </c>
      <c r="B70" s="180">
        <v>8575</v>
      </c>
      <c r="C70" s="179">
        <v>348</v>
      </c>
      <c r="D70" s="180">
        <v>9830</v>
      </c>
      <c r="E70" s="179">
        <v>379</v>
      </c>
      <c r="F70" s="180">
        <v>11135</v>
      </c>
      <c r="G70" s="179">
        <v>410</v>
      </c>
      <c r="H70" s="180">
        <v>12486</v>
      </c>
      <c r="I70" s="178">
        <v>441</v>
      </c>
      <c r="J70" s="180">
        <v>13880</v>
      </c>
    </row>
    <row r="71" spans="1:10">
      <c r="A71" s="178">
        <v>318</v>
      </c>
      <c r="B71" s="180">
        <v>8615</v>
      </c>
      <c r="C71" s="179">
        <v>349</v>
      </c>
      <c r="D71" s="180">
        <v>9872</v>
      </c>
      <c r="E71" s="179">
        <v>380</v>
      </c>
      <c r="F71" s="180">
        <v>11178</v>
      </c>
      <c r="G71" s="179">
        <v>411</v>
      </c>
      <c r="H71" s="180">
        <v>12530</v>
      </c>
      <c r="I71" s="178">
        <v>442</v>
      </c>
      <c r="J71" s="180">
        <v>13926</v>
      </c>
    </row>
    <row r="72" spans="1:10">
      <c r="A72" s="178">
        <v>319</v>
      </c>
      <c r="B72" s="180">
        <v>8655</v>
      </c>
      <c r="C72" s="179">
        <v>350</v>
      </c>
      <c r="D72" s="180">
        <v>9913</v>
      </c>
      <c r="E72" s="179">
        <v>381</v>
      </c>
      <c r="F72" s="180">
        <v>11220</v>
      </c>
      <c r="G72" s="179">
        <v>412</v>
      </c>
      <c r="H72" s="180">
        <v>12574</v>
      </c>
      <c r="I72" s="178">
        <v>443</v>
      </c>
      <c r="J72" s="180">
        <v>13971</v>
      </c>
    </row>
    <row r="73" spans="1:10">
      <c r="A73" s="178">
        <v>320</v>
      </c>
      <c r="B73" s="180">
        <v>8695</v>
      </c>
      <c r="C73" s="179">
        <v>351</v>
      </c>
      <c r="D73" s="180">
        <v>9954</v>
      </c>
      <c r="E73" s="179">
        <v>382</v>
      </c>
      <c r="F73" s="180">
        <v>11263</v>
      </c>
      <c r="G73" s="179">
        <v>413</v>
      </c>
      <c r="H73" s="180">
        <v>12619</v>
      </c>
      <c r="I73" s="178">
        <v>444</v>
      </c>
      <c r="J73" s="180">
        <v>14017</v>
      </c>
    </row>
    <row r="74" spans="1:10">
      <c r="A74" s="178">
        <v>321</v>
      </c>
      <c r="B74" s="180">
        <v>8734</v>
      </c>
      <c r="C74" s="179">
        <v>352</v>
      </c>
      <c r="D74" s="180">
        <v>9996</v>
      </c>
      <c r="E74" s="199">
        <v>383</v>
      </c>
      <c r="F74" s="199">
        <v>11306</v>
      </c>
      <c r="G74" s="179">
        <v>414</v>
      </c>
      <c r="H74" s="180">
        <v>12663</v>
      </c>
      <c r="I74" s="178">
        <v>445</v>
      </c>
      <c r="J74" s="180">
        <v>14063</v>
      </c>
    </row>
    <row r="75" spans="1:10">
      <c r="A75" s="178">
        <v>322</v>
      </c>
      <c r="B75" s="180">
        <v>8774</v>
      </c>
      <c r="C75" s="179">
        <v>353</v>
      </c>
      <c r="D75" s="180">
        <v>10037</v>
      </c>
      <c r="E75" s="199">
        <v>384</v>
      </c>
      <c r="F75" s="199">
        <v>11350</v>
      </c>
      <c r="G75" s="179">
        <v>415</v>
      </c>
      <c r="H75" s="180">
        <v>12708</v>
      </c>
      <c r="I75" s="178">
        <v>446</v>
      </c>
      <c r="J75" s="180">
        <v>14109</v>
      </c>
    </row>
    <row r="76" spans="1:10">
      <c r="A76" s="178">
        <v>323</v>
      </c>
      <c r="B76" s="180">
        <v>8814</v>
      </c>
      <c r="C76" s="179">
        <v>354</v>
      </c>
      <c r="D76" s="180">
        <v>10079</v>
      </c>
      <c r="E76" s="179">
        <v>385</v>
      </c>
      <c r="F76" s="180">
        <v>11393</v>
      </c>
      <c r="G76" s="179">
        <v>416</v>
      </c>
      <c r="H76" s="180">
        <v>12752</v>
      </c>
      <c r="I76" s="178">
        <v>447</v>
      </c>
      <c r="J76" s="180">
        <v>14155</v>
      </c>
    </row>
    <row r="77" spans="1:10">
      <c r="A77" s="178">
        <v>324</v>
      </c>
      <c r="B77" s="180">
        <v>8854</v>
      </c>
      <c r="C77" s="179">
        <v>355</v>
      </c>
      <c r="D77" s="180">
        <v>10121</v>
      </c>
      <c r="E77" s="179">
        <v>386</v>
      </c>
      <c r="F77" s="180">
        <v>11436</v>
      </c>
      <c r="G77" s="179">
        <v>417</v>
      </c>
      <c r="H77" s="180">
        <v>12797</v>
      </c>
      <c r="I77" s="178">
        <v>448</v>
      </c>
      <c r="J77" s="180">
        <v>14201</v>
      </c>
    </row>
    <row r="78" spans="1:10">
      <c r="A78" s="178">
        <v>325</v>
      </c>
      <c r="B78" s="180">
        <v>8894</v>
      </c>
      <c r="C78" s="179">
        <v>356</v>
      </c>
      <c r="D78" s="180">
        <v>10162</v>
      </c>
      <c r="E78" s="179">
        <v>387</v>
      </c>
      <c r="F78" s="180">
        <v>11479</v>
      </c>
      <c r="G78" s="179">
        <v>418</v>
      </c>
      <c r="H78" s="180">
        <v>12841</v>
      </c>
      <c r="I78" s="178">
        <v>449</v>
      </c>
      <c r="J78" s="180">
        <v>14247</v>
      </c>
    </row>
    <row r="79" spans="1:10">
      <c r="A79" s="178">
        <v>326</v>
      </c>
      <c r="B79" s="180">
        <v>8934</v>
      </c>
      <c r="C79" s="179">
        <v>357</v>
      </c>
      <c r="D79" s="180">
        <v>10204</v>
      </c>
      <c r="E79" s="179">
        <v>388</v>
      </c>
      <c r="F79" s="180">
        <v>11522</v>
      </c>
      <c r="G79" s="179">
        <v>419</v>
      </c>
      <c r="H79" s="180">
        <v>12886</v>
      </c>
      <c r="I79" s="178">
        <v>450</v>
      </c>
      <c r="J79" s="180">
        <v>14293</v>
      </c>
    </row>
    <row r="80" spans="1:10">
      <c r="A80" s="178">
        <v>327</v>
      </c>
      <c r="B80" s="180">
        <v>8975</v>
      </c>
      <c r="C80" s="179">
        <v>358</v>
      </c>
      <c r="D80" s="180">
        <v>10246</v>
      </c>
      <c r="E80" s="179">
        <v>389</v>
      </c>
      <c r="F80" s="180">
        <v>11566</v>
      </c>
      <c r="G80" s="179">
        <v>420</v>
      </c>
      <c r="H80" s="180">
        <v>12931</v>
      </c>
      <c r="I80" s="178">
        <v>451</v>
      </c>
      <c r="J80" s="180">
        <v>14339</v>
      </c>
    </row>
    <row r="81" spans="1:10">
      <c r="A81" s="178">
        <v>328</v>
      </c>
      <c r="B81" s="180">
        <v>9015</v>
      </c>
      <c r="C81" s="179">
        <v>359</v>
      </c>
      <c r="D81" s="180">
        <v>10288</v>
      </c>
      <c r="E81" s="179">
        <v>390</v>
      </c>
      <c r="F81" s="180">
        <v>11609</v>
      </c>
      <c r="G81" s="179">
        <v>421</v>
      </c>
      <c r="H81" s="180">
        <v>12975</v>
      </c>
      <c r="I81" s="178">
        <v>452</v>
      </c>
      <c r="J81" s="180">
        <v>14385</v>
      </c>
    </row>
    <row r="82" spans="1:10">
      <c r="A82" s="178">
        <v>329</v>
      </c>
      <c r="B82" s="180">
        <v>9055</v>
      </c>
      <c r="C82" s="179">
        <v>360</v>
      </c>
      <c r="D82" s="180">
        <v>10330</v>
      </c>
      <c r="E82" s="179">
        <v>391</v>
      </c>
      <c r="F82" s="180">
        <v>11652</v>
      </c>
      <c r="G82" s="179">
        <v>422</v>
      </c>
      <c r="H82" s="180">
        <v>13020</v>
      </c>
      <c r="I82" s="178">
        <v>453</v>
      </c>
      <c r="J82" s="180">
        <v>14431</v>
      </c>
    </row>
    <row r="83" spans="1:10">
      <c r="A83" s="178">
        <v>330</v>
      </c>
      <c r="B83" s="180">
        <v>9095</v>
      </c>
      <c r="C83" s="179">
        <v>361</v>
      </c>
      <c r="D83" s="180">
        <v>10371</v>
      </c>
      <c r="E83" s="179">
        <v>392</v>
      </c>
      <c r="F83" s="180">
        <v>11696</v>
      </c>
      <c r="G83" s="179">
        <v>423</v>
      </c>
      <c r="H83" s="180">
        <v>13065</v>
      </c>
      <c r="I83" s="178">
        <v>454</v>
      </c>
      <c r="J83" s="180">
        <v>14477</v>
      </c>
    </row>
    <row r="84" spans="1:10">
      <c r="A84" s="178">
        <v>331</v>
      </c>
      <c r="B84" s="180">
        <v>9136</v>
      </c>
      <c r="C84" s="179">
        <v>362</v>
      </c>
      <c r="D84" s="180">
        <v>10413</v>
      </c>
      <c r="E84" s="179">
        <v>393</v>
      </c>
      <c r="F84" s="180">
        <v>11739</v>
      </c>
      <c r="G84" s="179">
        <v>424</v>
      </c>
      <c r="H84" s="180">
        <v>13110</v>
      </c>
      <c r="I84" s="178">
        <v>455</v>
      </c>
      <c r="J84" s="180">
        <v>14523</v>
      </c>
    </row>
    <row r="85" spans="1:10">
      <c r="A85" s="178">
        <v>332</v>
      </c>
      <c r="B85" s="180">
        <v>9176</v>
      </c>
      <c r="C85" s="179">
        <v>363</v>
      </c>
      <c r="D85" s="180">
        <v>10455</v>
      </c>
      <c r="E85" s="179">
        <v>394</v>
      </c>
      <c r="F85" s="180">
        <v>11783</v>
      </c>
      <c r="G85" s="179">
        <v>425</v>
      </c>
      <c r="H85" s="180">
        <v>13155</v>
      </c>
      <c r="I85" s="178">
        <v>456</v>
      </c>
      <c r="J85" s="180">
        <v>14570</v>
      </c>
    </row>
    <row r="86" spans="1:10">
      <c r="A86" s="178">
        <v>333</v>
      </c>
      <c r="B86" s="180">
        <v>9217</v>
      </c>
      <c r="C86" s="179">
        <v>364</v>
      </c>
      <c r="D86" s="180">
        <v>10498</v>
      </c>
      <c r="E86" s="179">
        <v>395</v>
      </c>
      <c r="F86" s="180">
        <v>11826</v>
      </c>
      <c r="G86" s="179">
        <v>426</v>
      </c>
      <c r="H86" s="180">
        <v>13200</v>
      </c>
      <c r="I86" s="178">
        <v>457</v>
      </c>
      <c r="J86" s="180">
        <v>14616</v>
      </c>
    </row>
    <row r="87" spans="1:10">
      <c r="A87" s="178">
        <v>334</v>
      </c>
      <c r="B87" s="180">
        <v>9257</v>
      </c>
      <c r="C87" s="179">
        <v>365</v>
      </c>
      <c r="D87" s="180">
        <v>10540</v>
      </c>
      <c r="E87" s="179">
        <v>396</v>
      </c>
      <c r="F87" s="180">
        <v>11870</v>
      </c>
      <c r="G87" s="179">
        <v>427</v>
      </c>
      <c r="H87" s="180">
        <v>13245</v>
      </c>
      <c r="I87" s="178">
        <v>458</v>
      </c>
      <c r="J87" s="180">
        <v>14662</v>
      </c>
    </row>
    <row r="88" spans="1:10">
      <c r="A88" s="178">
        <v>335</v>
      </c>
      <c r="B88" s="180">
        <v>9298</v>
      </c>
      <c r="C88" s="179">
        <v>366</v>
      </c>
      <c r="D88" s="180">
        <v>10582</v>
      </c>
      <c r="E88" s="179">
        <v>397</v>
      </c>
      <c r="F88" s="180">
        <v>11914</v>
      </c>
      <c r="G88" s="179">
        <v>428</v>
      </c>
      <c r="H88" s="180">
        <v>13290</v>
      </c>
      <c r="I88" s="178">
        <v>459</v>
      </c>
      <c r="J88" s="180">
        <v>14709</v>
      </c>
    </row>
    <row r="89" spans="1:10">
      <c r="A89" s="178">
        <v>336</v>
      </c>
      <c r="B89" s="180">
        <v>9338</v>
      </c>
      <c r="C89" s="179">
        <v>367</v>
      </c>
      <c r="D89" s="180">
        <v>10624</v>
      </c>
      <c r="E89" s="179">
        <v>398</v>
      </c>
      <c r="F89" s="180">
        <v>11957</v>
      </c>
      <c r="G89" s="179">
        <v>429</v>
      </c>
      <c r="H89" s="180">
        <v>13335</v>
      </c>
      <c r="I89" s="178">
        <v>460</v>
      </c>
      <c r="J89" s="180">
        <v>14755</v>
      </c>
    </row>
    <row r="90" spans="1:10">
      <c r="A90" s="178">
        <v>337</v>
      </c>
      <c r="B90" s="180">
        <v>9379</v>
      </c>
      <c r="C90" s="179">
        <v>368</v>
      </c>
      <c r="D90" s="180">
        <v>10666</v>
      </c>
      <c r="E90" s="179">
        <v>399</v>
      </c>
      <c r="F90" s="180">
        <v>12001</v>
      </c>
      <c r="G90" s="179">
        <v>430</v>
      </c>
      <c r="H90" s="180">
        <v>13380</v>
      </c>
      <c r="I90" s="178">
        <v>461</v>
      </c>
      <c r="J90" s="180">
        <v>14802</v>
      </c>
    </row>
    <row r="91" spans="1:10">
      <c r="A91" s="178">
        <v>338</v>
      </c>
      <c r="B91" s="180">
        <v>9420</v>
      </c>
      <c r="C91" s="179">
        <v>369</v>
      </c>
      <c r="D91" s="180">
        <v>10709</v>
      </c>
      <c r="E91" s="179">
        <v>400</v>
      </c>
      <c r="F91" s="180">
        <v>12045</v>
      </c>
      <c r="G91" s="179">
        <v>431</v>
      </c>
      <c r="H91" s="180">
        <v>13426</v>
      </c>
      <c r="I91" s="178">
        <v>462</v>
      </c>
      <c r="J91" s="180">
        <v>14848</v>
      </c>
    </row>
    <row r="92" spans="1:10">
      <c r="A92" s="178">
        <v>339</v>
      </c>
      <c r="B92" s="180">
        <v>9461</v>
      </c>
      <c r="C92" s="179">
        <v>370</v>
      </c>
      <c r="D92" s="180">
        <v>10751</v>
      </c>
      <c r="E92" s="179">
        <v>401</v>
      </c>
      <c r="F92" s="180">
        <v>12089</v>
      </c>
      <c r="G92" s="179">
        <v>432</v>
      </c>
      <c r="H92" s="180">
        <v>13471</v>
      </c>
      <c r="I92" s="178">
        <v>463</v>
      </c>
      <c r="J92" s="180">
        <v>14895</v>
      </c>
    </row>
    <row r="93" spans="1:10">
      <c r="A93" s="178">
        <v>340</v>
      </c>
      <c r="B93" s="180">
        <v>9502</v>
      </c>
      <c r="C93" s="179">
        <v>371</v>
      </c>
      <c r="D93" s="180">
        <v>10794</v>
      </c>
      <c r="E93" s="179">
        <v>402</v>
      </c>
      <c r="F93" s="180">
        <v>12133</v>
      </c>
      <c r="G93" s="179">
        <v>433</v>
      </c>
      <c r="H93" s="180">
        <v>13516</v>
      </c>
      <c r="I93" s="178">
        <v>464</v>
      </c>
      <c r="J93" s="180">
        <v>14941</v>
      </c>
    </row>
    <row r="94" spans="1:10">
      <c r="A94" s="178">
        <v>465</v>
      </c>
      <c r="B94" s="180">
        <v>14988</v>
      </c>
      <c r="C94" s="179">
        <v>496</v>
      </c>
      <c r="D94" s="180">
        <v>16454</v>
      </c>
      <c r="E94" s="179">
        <v>527</v>
      </c>
      <c r="F94" s="180">
        <v>17957</v>
      </c>
      <c r="G94" s="179">
        <v>558</v>
      </c>
      <c r="H94" s="180">
        <v>19495</v>
      </c>
      <c r="I94" s="178">
        <v>589</v>
      </c>
      <c r="J94" s="180">
        <v>21066</v>
      </c>
    </row>
    <row r="95" spans="1:10">
      <c r="A95" s="178">
        <v>466</v>
      </c>
      <c r="B95" s="180">
        <v>15035</v>
      </c>
      <c r="C95" s="179">
        <v>497</v>
      </c>
      <c r="D95" s="180">
        <v>16502</v>
      </c>
      <c r="E95" s="179">
        <v>528</v>
      </c>
      <c r="F95" s="180">
        <v>18006</v>
      </c>
      <c r="G95" s="179">
        <v>559</v>
      </c>
      <c r="H95" s="180">
        <v>19545</v>
      </c>
      <c r="I95" s="178">
        <v>590</v>
      </c>
      <c r="J95" s="180">
        <v>21117</v>
      </c>
    </row>
    <row r="96" spans="1:10">
      <c r="A96" s="178">
        <v>467</v>
      </c>
      <c r="B96" s="180">
        <v>15081</v>
      </c>
      <c r="C96" s="179">
        <v>498</v>
      </c>
      <c r="D96" s="180">
        <v>16550</v>
      </c>
      <c r="E96" s="179">
        <v>529</v>
      </c>
      <c r="F96" s="180">
        <v>18055</v>
      </c>
      <c r="G96" s="179">
        <v>560</v>
      </c>
      <c r="H96" s="180">
        <v>19595</v>
      </c>
      <c r="I96" s="178">
        <v>591</v>
      </c>
      <c r="J96" s="180">
        <v>21168</v>
      </c>
    </row>
    <row r="97" spans="1:10">
      <c r="A97" s="178">
        <v>468</v>
      </c>
      <c r="B97" s="180">
        <v>15128</v>
      </c>
      <c r="C97" s="179">
        <v>499</v>
      </c>
      <c r="D97" s="180">
        <v>16598</v>
      </c>
      <c r="E97" s="179">
        <v>530</v>
      </c>
      <c r="F97" s="180">
        <v>18104</v>
      </c>
      <c r="G97" s="179">
        <v>561</v>
      </c>
      <c r="H97" s="180">
        <v>19645</v>
      </c>
      <c r="I97" s="178">
        <v>592</v>
      </c>
      <c r="J97" s="180">
        <v>21220</v>
      </c>
    </row>
    <row r="98" spans="1:10">
      <c r="A98" s="178">
        <v>469</v>
      </c>
      <c r="B98" s="180">
        <v>15175</v>
      </c>
      <c r="C98" s="179">
        <v>500</v>
      </c>
      <c r="D98" s="180">
        <v>16646</v>
      </c>
      <c r="E98" s="179">
        <v>531</v>
      </c>
      <c r="F98" s="180">
        <v>18153</v>
      </c>
      <c r="G98" s="179">
        <v>562</v>
      </c>
      <c r="H98" s="180">
        <v>19696</v>
      </c>
      <c r="I98" s="178">
        <v>593</v>
      </c>
      <c r="J98" s="180">
        <v>21271</v>
      </c>
    </row>
    <row r="99" spans="1:10">
      <c r="A99" s="178">
        <v>470</v>
      </c>
      <c r="B99" s="180">
        <v>15222</v>
      </c>
      <c r="C99" s="179">
        <v>501</v>
      </c>
      <c r="D99" s="180">
        <v>16694</v>
      </c>
      <c r="E99" s="179">
        <v>532</v>
      </c>
      <c r="F99" s="180">
        <v>18202</v>
      </c>
      <c r="G99" s="179">
        <v>563</v>
      </c>
      <c r="H99" s="180">
        <v>19746</v>
      </c>
      <c r="I99" s="178">
        <v>594</v>
      </c>
      <c r="J99" s="180">
        <v>21322</v>
      </c>
    </row>
    <row r="100" spans="1:10">
      <c r="A100" s="178">
        <v>471</v>
      </c>
      <c r="B100" s="180">
        <v>15269</v>
      </c>
      <c r="C100" s="179">
        <v>502</v>
      </c>
      <c r="D100" s="180">
        <v>16742</v>
      </c>
      <c r="E100" s="179">
        <v>533</v>
      </c>
      <c r="F100" s="180">
        <v>18252</v>
      </c>
      <c r="G100" s="179">
        <v>564</v>
      </c>
      <c r="H100" s="180">
        <v>19796</v>
      </c>
      <c r="I100" s="178">
        <v>595</v>
      </c>
      <c r="J100" s="180">
        <v>21374</v>
      </c>
    </row>
    <row r="101" spans="1:10">
      <c r="A101" s="178">
        <v>472</v>
      </c>
      <c r="B101" s="180">
        <v>15316</v>
      </c>
      <c r="C101" s="179">
        <v>503</v>
      </c>
      <c r="D101" s="180">
        <v>16790</v>
      </c>
      <c r="E101" s="179">
        <v>534</v>
      </c>
      <c r="F101" s="180">
        <v>18301</v>
      </c>
      <c r="G101" s="179">
        <v>565</v>
      </c>
      <c r="H101" s="180">
        <v>19847</v>
      </c>
      <c r="I101" s="178">
        <v>596</v>
      </c>
      <c r="J101" s="180">
        <v>21425</v>
      </c>
    </row>
    <row r="102" spans="1:10">
      <c r="A102" s="199">
        <v>473</v>
      </c>
      <c r="B102" s="199">
        <v>15363</v>
      </c>
      <c r="C102" s="179">
        <v>504</v>
      </c>
      <c r="D102" s="180">
        <v>16838</v>
      </c>
      <c r="E102" s="179">
        <v>535</v>
      </c>
      <c r="F102" s="180">
        <v>18350</v>
      </c>
      <c r="G102" s="179">
        <v>566</v>
      </c>
      <c r="H102" s="180">
        <v>19897</v>
      </c>
      <c r="I102" s="178">
        <v>597</v>
      </c>
      <c r="J102" s="180">
        <v>21477</v>
      </c>
    </row>
    <row r="103" spans="1:10">
      <c r="A103" s="178">
        <v>474</v>
      </c>
      <c r="B103" s="180">
        <v>15410</v>
      </c>
      <c r="C103" s="179">
        <v>505</v>
      </c>
      <c r="D103" s="180">
        <v>16886</v>
      </c>
      <c r="E103" s="179">
        <v>536</v>
      </c>
      <c r="F103" s="180">
        <v>18400</v>
      </c>
      <c r="G103" s="179">
        <v>567</v>
      </c>
      <c r="H103" s="180">
        <v>19947</v>
      </c>
      <c r="I103" s="178">
        <v>598</v>
      </c>
      <c r="J103" s="180">
        <v>21528</v>
      </c>
    </row>
    <row r="104" spans="1:10">
      <c r="A104" s="178">
        <v>475</v>
      </c>
      <c r="B104" s="180">
        <v>15457</v>
      </c>
      <c r="C104" s="179">
        <v>506</v>
      </c>
      <c r="D104" s="180">
        <v>16935</v>
      </c>
      <c r="E104" s="179">
        <v>537</v>
      </c>
      <c r="F104" s="180">
        <v>18449</v>
      </c>
      <c r="G104" s="179">
        <v>568</v>
      </c>
      <c r="H104" s="180">
        <v>19998</v>
      </c>
      <c r="I104" s="178">
        <v>599</v>
      </c>
      <c r="J104" s="180">
        <v>21580</v>
      </c>
    </row>
    <row r="105" spans="1:10">
      <c r="A105" s="178">
        <v>476</v>
      </c>
      <c r="B105" s="180">
        <v>15504</v>
      </c>
      <c r="C105" s="179">
        <v>507</v>
      </c>
      <c r="D105" s="180">
        <v>16983</v>
      </c>
      <c r="E105" s="179">
        <v>538</v>
      </c>
      <c r="F105" s="180">
        <v>18498</v>
      </c>
      <c r="G105" s="179">
        <v>569</v>
      </c>
      <c r="H105" s="180">
        <v>20048</v>
      </c>
      <c r="I105" s="178">
        <v>600</v>
      </c>
      <c r="J105" s="180">
        <v>21631</v>
      </c>
    </row>
    <row r="106" spans="1:10">
      <c r="A106" s="178">
        <v>477</v>
      </c>
      <c r="B106" s="180">
        <v>15551</v>
      </c>
      <c r="C106" s="179">
        <v>508</v>
      </c>
      <c r="D106" s="180">
        <v>17031</v>
      </c>
      <c r="E106" s="179">
        <v>539</v>
      </c>
      <c r="F106" s="180">
        <v>18548</v>
      </c>
      <c r="G106" s="179">
        <v>570</v>
      </c>
      <c r="H106" s="180">
        <v>20099</v>
      </c>
      <c r="I106" s="178">
        <v>601</v>
      </c>
      <c r="J106" s="180">
        <v>21683</v>
      </c>
    </row>
    <row r="107" spans="1:10">
      <c r="A107" s="178">
        <v>478</v>
      </c>
      <c r="B107" s="180">
        <v>15598</v>
      </c>
      <c r="C107" s="179">
        <v>509</v>
      </c>
      <c r="D107" s="180">
        <v>17080</v>
      </c>
      <c r="E107" s="179">
        <v>540</v>
      </c>
      <c r="F107" s="180">
        <v>18598</v>
      </c>
      <c r="G107" s="179">
        <v>571</v>
      </c>
      <c r="H107" s="180">
        <v>20150</v>
      </c>
      <c r="I107" s="199">
        <v>602</v>
      </c>
      <c r="J107" s="199">
        <v>21734</v>
      </c>
    </row>
    <row r="108" spans="1:10">
      <c r="A108" s="178">
        <v>479</v>
      </c>
      <c r="B108" s="180">
        <v>15645</v>
      </c>
      <c r="C108" s="179">
        <v>510</v>
      </c>
      <c r="D108" s="180">
        <v>17128</v>
      </c>
      <c r="E108" s="179">
        <v>541</v>
      </c>
      <c r="F108" s="180">
        <v>18647</v>
      </c>
      <c r="G108" s="179">
        <v>572</v>
      </c>
      <c r="H108" s="180">
        <v>20200</v>
      </c>
      <c r="I108" s="178">
        <v>603</v>
      </c>
      <c r="J108" s="180">
        <v>21786</v>
      </c>
    </row>
    <row r="109" spans="1:10">
      <c r="A109" s="178">
        <v>480</v>
      </c>
      <c r="B109" s="180">
        <v>15692</v>
      </c>
      <c r="C109" s="179">
        <v>511</v>
      </c>
      <c r="D109" s="180">
        <v>17176</v>
      </c>
      <c r="E109" s="179">
        <v>542</v>
      </c>
      <c r="F109" s="180">
        <v>18697</v>
      </c>
      <c r="G109" s="179">
        <v>573</v>
      </c>
      <c r="H109" s="180">
        <v>20251</v>
      </c>
      <c r="I109" s="178">
        <v>604</v>
      </c>
      <c r="J109" s="180">
        <v>21838</v>
      </c>
    </row>
    <row r="110" spans="1:10">
      <c r="A110" s="178">
        <v>481</v>
      </c>
      <c r="B110" s="180">
        <v>15740</v>
      </c>
      <c r="C110" s="179">
        <v>512</v>
      </c>
      <c r="D110" s="180">
        <v>17225</v>
      </c>
      <c r="E110" s="179">
        <v>543</v>
      </c>
      <c r="F110" s="180">
        <v>18746</v>
      </c>
      <c r="G110" s="179">
        <v>574</v>
      </c>
      <c r="H110" s="180">
        <v>20302</v>
      </c>
      <c r="I110" s="178">
        <v>605</v>
      </c>
      <c r="J110" s="180">
        <v>21889</v>
      </c>
    </row>
    <row r="111" spans="1:10">
      <c r="A111" s="178">
        <v>482</v>
      </c>
      <c r="B111" s="180">
        <v>15787</v>
      </c>
      <c r="C111" s="179">
        <v>513</v>
      </c>
      <c r="D111" s="180">
        <v>17273</v>
      </c>
      <c r="E111" s="179">
        <v>544</v>
      </c>
      <c r="F111" s="180">
        <v>18796</v>
      </c>
      <c r="G111" s="179">
        <v>575</v>
      </c>
      <c r="H111" s="180">
        <v>20352</v>
      </c>
      <c r="I111" s="178">
        <v>606</v>
      </c>
      <c r="J111" s="180">
        <v>21941</v>
      </c>
    </row>
    <row r="112" spans="1:10">
      <c r="A112" s="178">
        <v>483</v>
      </c>
      <c r="B112" s="180">
        <v>15834</v>
      </c>
      <c r="C112" s="179">
        <v>514</v>
      </c>
      <c r="D112" s="180">
        <v>17322</v>
      </c>
      <c r="E112" s="179">
        <v>545</v>
      </c>
      <c r="F112" s="180">
        <v>18845</v>
      </c>
      <c r="G112" s="179">
        <v>576</v>
      </c>
      <c r="H112" s="180">
        <v>20403</v>
      </c>
      <c r="I112" s="178">
        <v>607</v>
      </c>
      <c r="J112" s="180">
        <v>21993</v>
      </c>
    </row>
    <row r="113" spans="1:10">
      <c r="A113" s="178">
        <v>484</v>
      </c>
      <c r="B113" s="180">
        <v>15882</v>
      </c>
      <c r="C113" s="179">
        <v>515</v>
      </c>
      <c r="D113" s="180">
        <v>17371</v>
      </c>
      <c r="E113" s="179">
        <v>546</v>
      </c>
      <c r="F113" s="180">
        <v>18895</v>
      </c>
      <c r="G113" s="179">
        <v>577</v>
      </c>
      <c r="H113" s="180">
        <v>20454</v>
      </c>
      <c r="I113" s="178">
        <v>608</v>
      </c>
      <c r="J113" s="180">
        <v>22045</v>
      </c>
    </row>
    <row r="114" spans="1:10">
      <c r="A114" s="178">
        <v>485</v>
      </c>
      <c r="B114" s="180">
        <v>15929</v>
      </c>
      <c r="C114" s="179">
        <v>516</v>
      </c>
      <c r="D114" s="180">
        <v>17419</v>
      </c>
      <c r="E114" s="179">
        <v>547</v>
      </c>
      <c r="F114" s="180">
        <v>18945</v>
      </c>
      <c r="G114" s="179">
        <v>578</v>
      </c>
      <c r="H114" s="180">
        <v>20505</v>
      </c>
      <c r="I114" s="178">
        <v>609</v>
      </c>
      <c r="J114" s="180">
        <v>22096</v>
      </c>
    </row>
    <row r="115" spans="1:10">
      <c r="A115" s="178">
        <v>486</v>
      </c>
      <c r="B115" s="180">
        <v>15977</v>
      </c>
      <c r="C115" s="179">
        <v>517</v>
      </c>
      <c r="D115" s="180">
        <v>17468</v>
      </c>
      <c r="E115" s="179">
        <v>548</v>
      </c>
      <c r="F115" s="180">
        <v>18995</v>
      </c>
      <c r="G115" s="179">
        <v>579</v>
      </c>
      <c r="H115" s="180">
        <v>20555</v>
      </c>
      <c r="I115" s="178">
        <v>610</v>
      </c>
      <c r="J115" s="180">
        <v>22148</v>
      </c>
    </row>
    <row r="116" spans="1:10">
      <c r="A116" s="178">
        <v>487</v>
      </c>
      <c r="B116" s="180">
        <v>16024</v>
      </c>
      <c r="C116" s="179">
        <v>518</v>
      </c>
      <c r="D116" s="180">
        <v>17517</v>
      </c>
      <c r="E116" s="179">
        <v>549</v>
      </c>
      <c r="F116" s="180">
        <v>19045</v>
      </c>
      <c r="G116" s="179">
        <v>580</v>
      </c>
      <c r="H116" s="180">
        <v>20606</v>
      </c>
      <c r="I116" s="178">
        <v>611</v>
      </c>
      <c r="J116" s="180">
        <v>22200</v>
      </c>
    </row>
    <row r="117" spans="1:10">
      <c r="A117" s="178">
        <v>488</v>
      </c>
      <c r="B117" s="180">
        <v>16072</v>
      </c>
      <c r="C117" s="179">
        <v>519</v>
      </c>
      <c r="D117" s="180">
        <v>17565</v>
      </c>
      <c r="E117" s="179">
        <v>550</v>
      </c>
      <c r="F117" s="180">
        <v>19094</v>
      </c>
      <c r="G117" s="179">
        <v>581</v>
      </c>
      <c r="H117" s="180">
        <v>20657</v>
      </c>
      <c r="I117" s="178">
        <v>612</v>
      </c>
      <c r="J117" s="180">
        <v>22252</v>
      </c>
    </row>
    <row r="118" spans="1:10">
      <c r="A118" s="178">
        <v>409</v>
      </c>
      <c r="B118" s="180">
        <v>16119</v>
      </c>
      <c r="C118" s="179">
        <v>520</v>
      </c>
      <c r="D118" s="180">
        <v>17614</v>
      </c>
      <c r="E118" s="179">
        <v>551</v>
      </c>
      <c r="F118" s="180">
        <v>19144</v>
      </c>
      <c r="G118" s="179">
        <v>582</v>
      </c>
      <c r="H118" s="180">
        <v>20708</v>
      </c>
      <c r="I118" s="178">
        <v>613</v>
      </c>
      <c r="J118" s="180">
        <v>22304</v>
      </c>
    </row>
    <row r="119" spans="1:10">
      <c r="A119" s="178">
        <v>490</v>
      </c>
      <c r="B119" s="180">
        <v>16167</v>
      </c>
      <c r="C119" s="179">
        <v>521</v>
      </c>
      <c r="D119" s="180">
        <v>17663</v>
      </c>
      <c r="E119" s="179">
        <v>552</v>
      </c>
      <c r="F119" s="180">
        <v>19194</v>
      </c>
      <c r="G119" s="179">
        <v>583</v>
      </c>
      <c r="H119" s="180">
        <v>20759</v>
      </c>
      <c r="I119" s="178">
        <v>614</v>
      </c>
      <c r="J119" s="180">
        <v>22356</v>
      </c>
    </row>
    <row r="120" spans="1:10">
      <c r="A120" s="178">
        <v>491</v>
      </c>
      <c r="B120" s="180">
        <v>16215</v>
      </c>
      <c r="C120" s="179">
        <v>522</v>
      </c>
      <c r="D120" s="180">
        <v>17712</v>
      </c>
      <c r="E120" s="179">
        <v>553</v>
      </c>
      <c r="F120" s="180">
        <v>19244</v>
      </c>
      <c r="G120" s="179">
        <v>584</v>
      </c>
      <c r="H120" s="180">
        <v>20810</v>
      </c>
      <c r="I120" s="178">
        <v>615</v>
      </c>
      <c r="J120" s="180">
        <v>22408</v>
      </c>
    </row>
    <row r="121" spans="1:10">
      <c r="A121" s="178">
        <v>492</v>
      </c>
      <c r="B121" s="180">
        <v>16262</v>
      </c>
      <c r="C121" s="179">
        <v>523</v>
      </c>
      <c r="D121" s="180">
        <v>17761</v>
      </c>
      <c r="E121" s="179">
        <v>554</v>
      </c>
      <c r="F121" s="180">
        <v>19294</v>
      </c>
      <c r="G121" s="179">
        <v>585</v>
      </c>
      <c r="H121" s="180">
        <v>20861</v>
      </c>
      <c r="I121" s="178">
        <v>616</v>
      </c>
      <c r="J121" s="180">
        <v>22460</v>
      </c>
    </row>
    <row r="122" spans="1:10">
      <c r="A122" s="178">
        <v>493</v>
      </c>
      <c r="B122" s="180">
        <v>16310</v>
      </c>
      <c r="C122" s="179">
        <v>524</v>
      </c>
      <c r="D122" s="180">
        <v>17810</v>
      </c>
      <c r="E122" s="179">
        <v>555</v>
      </c>
      <c r="F122" s="180">
        <v>19344</v>
      </c>
      <c r="G122" s="179">
        <v>586</v>
      </c>
      <c r="H122" s="180">
        <v>20912</v>
      </c>
      <c r="I122" s="178">
        <v>617</v>
      </c>
      <c r="J122" s="180">
        <v>22512</v>
      </c>
    </row>
    <row r="123" spans="1:10">
      <c r="A123" s="178">
        <v>494</v>
      </c>
      <c r="B123" s="180">
        <v>16358</v>
      </c>
      <c r="C123" s="179">
        <v>525</v>
      </c>
      <c r="D123" s="180">
        <v>17859</v>
      </c>
      <c r="E123" s="179">
        <v>556</v>
      </c>
      <c r="F123" s="180">
        <v>19394</v>
      </c>
      <c r="G123" s="179">
        <v>587</v>
      </c>
      <c r="H123" s="180">
        <v>20964</v>
      </c>
      <c r="I123" s="178">
        <v>618</v>
      </c>
      <c r="J123" s="180">
        <v>22564</v>
      </c>
    </row>
    <row r="124" spans="1:10">
      <c r="A124" s="178" t="s">
        <v>170</v>
      </c>
      <c r="B124" s="180">
        <v>16406</v>
      </c>
      <c r="C124" s="179">
        <v>526</v>
      </c>
      <c r="D124" s="180">
        <v>17908</v>
      </c>
      <c r="E124" s="179">
        <v>557</v>
      </c>
      <c r="F124" s="180">
        <v>19444</v>
      </c>
      <c r="G124" s="179">
        <v>588</v>
      </c>
      <c r="H124" s="180">
        <v>21015</v>
      </c>
      <c r="I124" s="178">
        <v>619</v>
      </c>
      <c r="J124" s="180">
        <v>22616</v>
      </c>
    </row>
    <row r="125" spans="1:10">
      <c r="A125" s="178">
        <v>620</v>
      </c>
      <c r="B125" s="180">
        <v>22669</v>
      </c>
      <c r="C125" s="179">
        <v>651</v>
      </c>
      <c r="D125" s="180">
        <v>24301</v>
      </c>
      <c r="E125" s="179">
        <v>682</v>
      </c>
      <c r="F125" s="180">
        <v>25962</v>
      </c>
      <c r="G125" s="179">
        <v>713</v>
      </c>
      <c r="H125" s="180">
        <v>27649</v>
      </c>
      <c r="I125" s="178">
        <v>744</v>
      </c>
      <c r="J125" s="180">
        <v>29362</v>
      </c>
    </row>
    <row r="126" spans="1:10">
      <c r="A126" s="178">
        <v>621</v>
      </c>
      <c r="B126" s="180">
        <v>22721</v>
      </c>
      <c r="C126" s="179">
        <v>652</v>
      </c>
      <c r="D126" s="180">
        <v>24354</v>
      </c>
      <c r="E126" s="179">
        <v>683</v>
      </c>
      <c r="F126" s="180">
        <v>26016</v>
      </c>
      <c r="G126" s="179">
        <v>714</v>
      </c>
      <c r="H126" s="180">
        <v>27704</v>
      </c>
      <c r="I126" s="178">
        <v>745</v>
      </c>
      <c r="J126" s="180">
        <v>29418</v>
      </c>
    </row>
    <row r="127" spans="1:10">
      <c r="A127" s="178">
        <v>622</v>
      </c>
      <c r="B127" s="180">
        <v>22773</v>
      </c>
      <c r="C127" s="179">
        <v>653</v>
      </c>
      <c r="D127" s="180">
        <v>24407</v>
      </c>
      <c r="E127" s="179">
        <v>684</v>
      </c>
      <c r="F127" s="180">
        <v>26070</v>
      </c>
      <c r="G127" s="179">
        <v>715</v>
      </c>
      <c r="H127" s="180">
        <v>27759</v>
      </c>
      <c r="I127" s="178">
        <v>746</v>
      </c>
      <c r="J127" s="180">
        <v>29473</v>
      </c>
    </row>
    <row r="128" spans="1:10">
      <c r="A128" s="178">
        <v>623</v>
      </c>
      <c r="B128" s="180">
        <v>22825</v>
      </c>
      <c r="C128" s="179">
        <v>654</v>
      </c>
      <c r="D128" s="180">
        <v>24461</v>
      </c>
      <c r="E128" s="179">
        <v>685</v>
      </c>
      <c r="F128" s="180">
        <v>26124</v>
      </c>
      <c r="G128" s="179">
        <v>716</v>
      </c>
      <c r="H128" s="180">
        <v>27814</v>
      </c>
      <c r="I128" s="178">
        <v>747</v>
      </c>
      <c r="J128" s="180">
        <v>29529</v>
      </c>
    </row>
    <row r="129" spans="1:10">
      <c r="A129" s="178">
        <v>624</v>
      </c>
      <c r="B129" s="180">
        <v>22878</v>
      </c>
      <c r="C129" s="179">
        <v>655</v>
      </c>
      <c r="D129" s="180">
        <v>24514</v>
      </c>
      <c r="E129" s="179">
        <v>686</v>
      </c>
      <c r="F129" s="180">
        <v>26178</v>
      </c>
      <c r="G129" s="179">
        <v>717</v>
      </c>
      <c r="H129" s="180">
        <v>27869</v>
      </c>
      <c r="I129" s="199">
        <v>748</v>
      </c>
      <c r="J129" s="199">
        <v>29585</v>
      </c>
    </row>
    <row r="130" spans="1:10">
      <c r="A130" s="178">
        <v>625</v>
      </c>
      <c r="B130" s="180">
        <v>22930</v>
      </c>
      <c r="C130" s="179">
        <v>656</v>
      </c>
      <c r="D130" s="180">
        <v>24567</v>
      </c>
      <c r="E130" s="179">
        <v>687</v>
      </c>
      <c r="F130" s="180">
        <v>26232</v>
      </c>
      <c r="G130" s="179">
        <v>718</v>
      </c>
      <c r="H130" s="180">
        <v>27924</v>
      </c>
      <c r="I130" s="178">
        <v>749</v>
      </c>
      <c r="J130" s="180">
        <v>29641</v>
      </c>
    </row>
    <row r="131" spans="1:10">
      <c r="A131" s="178">
        <v>626</v>
      </c>
      <c r="B131" s="180">
        <v>22982</v>
      </c>
      <c r="C131" s="179">
        <v>657</v>
      </c>
      <c r="D131" s="180">
        <v>24620</v>
      </c>
      <c r="E131" s="179">
        <v>688</v>
      </c>
      <c r="F131" s="180">
        <v>26286</v>
      </c>
      <c r="G131" s="179">
        <v>719</v>
      </c>
      <c r="H131" s="180">
        <v>27979</v>
      </c>
      <c r="I131" s="178">
        <v>750</v>
      </c>
      <c r="J131" s="180">
        <v>29696</v>
      </c>
    </row>
    <row r="132" spans="1:10">
      <c r="A132" s="178">
        <v>627</v>
      </c>
      <c r="B132" s="180">
        <v>23035</v>
      </c>
      <c r="C132" s="179">
        <v>658</v>
      </c>
      <c r="D132" s="180">
        <v>24674</v>
      </c>
      <c r="E132" s="179">
        <v>689</v>
      </c>
      <c r="F132" s="180">
        <v>26341</v>
      </c>
      <c r="G132" s="179">
        <v>720</v>
      </c>
      <c r="H132" s="180">
        <v>28034</v>
      </c>
      <c r="I132" s="178">
        <v>751</v>
      </c>
      <c r="J132" s="180">
        <v>29752</v>
      </c>
    </row>
    <row r="133" spans="1:10">
      <c r="A133" s="178">
        <v>628</v>
      </c>
      <c r="B133" s="180">
        <v>23087</v>
      </c>
      <c r="C133" s="179">
        <v>659</v>
      </c>
      <c r="D133" s="180">
        <v>24727</v>
      </c>
      <c r="E133" s="179">
        <v>690</v>
      </c>
      <c r="F133" s="180">
        <v>26395</v>
      </c>
      <c r="G133" s="179">
        <v>721</v>
      </c>
      <c r="H133" s="180">
        <v>28089</v>
      </c>
      <c r="I133" s="199">
        <v>752</v>
      </c>
      <c r="J133" s="199">
        <v>29808</v>
      </c>
    </row>
    <row r="134" spans="1:10">
      <c r="A134" s="178">
        <v>629</v>
      </c>
      <c r="B134" s="180">
        <v>23140</v>
      </c>
      <c r="C134" s="179">
        <v>660</v>
      </c>
      <c r="D134" s="180">
        <v>24780</v>
      </c>
      <c r="E134" s="179">
        <v>691</v>
      </c>
      <c r="F134" s="180">
        <v>26449</v>
      </c>
      <c r="G134" s="179">
        <v>722</v>
      </c>
      <c r="H134" s="180">
        <v>28144</v>
      </c>
      <c r="I134" s="178">
        <v>753</v>
      </c>
      <c r="J134" s="180">
        <v>29864</v>
      </c>
    </row>
    <row r="135" spans="1:10">
      <c r="A135" s="199">
        <v>630</v>
      </c>
      <c r="B135" s="199">
        <v>23192</v>
      </c>
      <c r="C135" s="179">
        <v>661</v>
      </c>
      <c r="D135" s="180">
        <v>24834</v>
      </c>
      <c r="E135" s="179">
        <v>692</v>
      </c>
      <c r="F135" s="180">
        <v>26503</v>
      </c>
      <c r="G135" s="179">
        <v>723</v>
      </c>
      <c r="H135" s="180">
        <v>28199</v>
      </c>
      <c r="I135" s="178">
        <v>754</v>
      </c>
      <c r="J135" s="180">
        <v>29920</v>
      </c>
    </row>
    <row r="136" spans="1:10">
      <c r="A136" s="178">
        <v>631</v>
      </c>
      <c r="B136" s="180">
        <v>23245</v>
      </c>
      <c r="C136" s="179">
        <v>662</v>
      </c>
      <c r="D136" s="180">
        <v>24887</v>
      </c>
      <c r="E136" s="179">
        <v>693</v>
      </c>
      <c r="F136" s="180">
        <v>26558</v>
      </c>
      <c r="G136" s="179">
        <v>724</v>
      </c>
      <c r="H136" s="180">
        <v>28254</v>
      </c>
      <c r="I136" s="199">
        <v>755</v>
      </c>
      <c r="J136" s="199">
        <v>29976</v>
      </c>
    </row>
    <row r="137" spans="1:10">
      <c r="A137" s="178">
        <v>632</v>
      </c>
      <c r="B137" s="180">
        <v>23297</v>
      </c>
      <c r="C137" s="179">
        <v>663</v>
      </c>
      <c r="D137" s="180">
        <v>24941</v>
      </c>
      <c r="E137" s="179">
        <v>694</v>
      </c>
      <c r="F137" s="180">
        <v>26612</v>
      </c>
      <c r="G137" s="179">
        <v>725</v>
      </c>
      <c r="H137" s="180">
        <v>28309</v>
      </c>
      <c r="I137" s="178">
        <v>756</v>
      </c>
      <c r="J137" s="180">
        <v>30032</v>
      </c>
    </row>
    <row r="138" spans="1:10">
      <c r="A138" s="178">
        <v>633</v>
      </c>
      <c r="B138" s="180">
        <v>23350</v>
      </c>
      <c r="C138" s="179">
        <v>664</v>
      </c>
      <c r="D138" s="180">
        <v>24994</v>
      </c>
      <c r="E138" s="179">
        <v>695</v>
      </c>
      <c r="F138" s="180">
        <v>26666</v>
      </c>
      <c r="G138" s="179">
        <v>726</v>
      </c>
      <c r="H138" s="180">
        <v>28365</v>
      </c>
      <c r="I138" s="178">
        <v>757</v>
      </c>
      <c r="J138" s="180">
        <v>30088</v>
      </c>
    </row>
    <row r="139" spans="1:10">
      <c r="A139" s="178">
        <v>634</v>
      </c>
      <c r="B139" s="180">
        <v>23402</v>
      </c>
      <c r="C139" s="179">
        <v>665</v>
      </c>
      <c r="D139" s="180">
        <v>25048</v>
      </c>
      <c r="E139" s="179">
        <v>696</v>
      </c>
      <c r="F139" s="180">
        <v>26721</v>
      </c>
      <c r="G139" s="179">
        <v>727</v>
      </c>
      <c r="H139" s="180">
        <v>28420</v>
      </c>
      <c r="I139" s="178">
        <v>758</v>
      </c>
      <c r="J139" s="180">
        <v>30144</v>
      </c>
    </row>
    <row r="140" spans="1:10">
      <c r="A140" s="178">
        <v>635</v>
      </c>
      <c r="B140" s="180">
        <v>23455</v>
      </c>
      <c r="C140" s="179">
        <v>666</v>
      </c>
      <c r="D140" s="180">
        <v>25101</v>
      </c>
      <c r="E140" s="179">
        <v>697</v>
      </c>
      <c r="F140" s="180">
        <v>26775</v>
      </c>
      <c r="G140" s="179">
        <v>728</v>
      </c>
      <c r="H140" s="180">
        <v>28475</v>
      </c>
      <c r="I140" s="178">
        <v>759</v>
      </c>
      <c r="J140" s="180">
        <v>30200</v>
      </c>
    </row>
    <row r="141" spans="1:10">
      <c r="A141" s="178">
        <v>636</v>
      </c>
      <c r="B141" s="180">
        <v>23508</v>
      </c>
      <c r="C141" s="179">
        <v>667</v>
      </c>
      <c r="D141" s="180">
        <v>25155</v>
      </c>
      <c r="E141" s="179">
        <v>698</v>
      </c>
      <c r="F141" s="180">
        <v>26830</v>
      </c>
      <c r="G141" s="179">
        <v>729</v>
      </c>
      <c r="H141" s="180">
        <v>28530</v>
      </c>
      <c r="I141" s="178">
        <v>760</v>
      </c>
      <c r="J141" s="180">
        <v>30256</v>
      </c>
    </row>
    <row r="142" spans="1:10">
      <c r="A142" s="178">
        <v>637</v>
      </c>
      <c r="B142" s="180">
        <v>23560</v>
      </c>
      <c r="C142" s="179">
        <v>668</v>
      </c>
      <c r="D142" s="180">
        <v>25208</v>
      </c>
      <c r="E142" s="179">
        <v>699</v>
      </c>
      <c r="F142" s="180">
        <v>26884</v>
      </c>
      <c r="G142" s="179">
        <v>730</v>
      </c>
      <c r="H142" s="180">
        <v>28585</v>
      </c>
      <c r="I142" s="178">
        <v>761</v>
      </c>
      <c r="J142" s="180">
        <v>30312</v>
      </c>
    </row>
    <row r="143" spans="1:10">
      <c r="A143" s="178">
        <v>638</v>
      </c>
      <c r="B143" s="180">
        <v>23613</v>
      </c>
      <c r="C143" s="179">
        <v>669</v>
      </c>
      <c r="D143" s="180">
        <v>25262</v>
      </c>
      <c r="E143" s="179">
        <v>700</v>
      </c>
      <c r="F143" s="180">
        <v>26938</v>
      </c>
      <c r="G143" s="179">
        <v>731</v>
      </c>
      <c r="H143" s="180">
        <v>28641</v>
      </c>
      <c r="I143" s="199">
        <v>762</v>
      </c>
      <c r="J143" s="199">
        <v>30368</v>
      </c>
    </row>
    <row r="144" spans="1:10">
      <c r="A144" s="178">
        <v>639</v>
      </c>
      <c r="B144" s="180">
        <v>23666</v>
      </c>
      <c r="C144" s="179">
        <v>670</v>
      </c>
      <c r="D144" s="180">
        <v>25316</v>
      </c>
      <c r="E144" s="179">
        <v>701</v>
      </c>
      <c r="F144" s="180">
        <v>26993</v>
      </c>
      <c r="G144" s="179">
        <v>732</v>
      </c>
      <c r="H144" s="180">
        <v>28696</v>
      </c>
      <c r="I144" s="178">
        <v>763</v>
      </c>
      <c r="J144" s="180">
        <v>30424</v>
      </c>
    </row>
    <row r="145" spans="1:10">
      <c r="A145" s="199">
        <v>640</v>
      </c>
      <c r="B145" s="199">
        <v>23719</v>
      </c>
      <c r="C145" s="179">
        <v>671</v>
      </c>
      <c r="D145" s="180">
        <v>25369</v>
      </c>
      <c r="E145" s="179">
        <v>702</v>
      </c>
      <c r="F145" s="180">
        <v>27048</v>
      </c>
      <c r="G145" s="179">
        <v>733</v>
      </c>
      <c r="H145" s="180">
        <v>28751</v>
      </c>
      <c r="I145" s="178">
        <v>764</v>
      </c>
      <c r="J145" s="180">
        <v>30480</v>
      </c>
    </row>
    <row r="146" spans="1:10">
      <c r="A146" s="178">
        <v>641</v>
      </c>
      <c r="B146" s="180">
        <v>23771</v>
      </c>
      <c r="C146" s="179">
        <v>672</v>
      </c>
      <c r="D146" s="180">
        <v>25423</v>
      </c>
      <c r="E146" s="179">
        <v>703</v>
      </c>
      <c r="F146" s="180">
        <v>27102</v>
      </c>
      <c r="G146" s="179">
        <v>734</v>
      </c>
      <c r="H146" s="180">
        <v>28807</v>
      </c>
      <c r="I146" s="178">
        <v>765</v>
      </c>
      <c r="J146" s="180">
        <v>30536</v>
      </c>
    </row>
    <row r="147" spans="1:10">
      <c r="A147" s="178">
        <v>642</v>
      </c>
      <c r="B147" s="180">
        <v>23824</v>
      </c>
      <c r="C147" s="179">
        <v>673</v>
      </c>
      <c r="D147" s="180">
        <v>25477</v>
      </c>
      <c r="E147" s="179">
        <v>704</v>
      </c>
      <c r="F147" s="180">
        <v>27157</v>
      </c>
      <c r="G147" s="179">
        <v>735</v>
      </c>
      <c r="H147" s="180">
        <v>28862</v>
      </c>
      <c r="I147" s="178">
        <v>766</v>
      </c>
      <c r="J147" s="180">
        <v>30592</v>
      </c>
    </row>
    <row r="148" spans="1:10">
      <c r="A148" s="178">
        <v>643</v>
      </c>
      <c r="B148" s="180">
        <v>23877</v>
      </c>
      <c r="C148" s="179">
        <v>674</v>
      </c>
      <c r="D148" s="180">
        <v>25531</v>
      </c>
      <c r="E148" s="179">
        <v>705</v>
      </c>
      <c r="F148" s="180">
        <v>27211</v>
      </c>
      <c r="G148" s="179">
        <v>736</v>
      </c>
      <c r="H148" s="180">
        <v>28918</v>
      </c>
      <c r="I148" s="178">
        <v>767</v>
      </c>
      <c r="J148" s="180">
        <v>30648</v>
      </c>
    </row>
    <row r="149" spans="1:10">
      <c r="A149" s="178">
        <v>644</v>
      </c>
      <c r="B149" s="180">
        <v>23930</v>
      </c>
      <c r="C149" s="179">
        <v>675</v>
      </c>
      <c r="D149" s="180">
        <v>25584</v>
      </c>
      <c r="E149" s="179">
        <v>706</v>
      </c>
      <c r="F149" s="180">
        <v>27266</v>
      </c>
      <c r="G149" s="179">
        <v>737</v>
      </c>
      <c r="H149" s="180">
        <v>28973</v>
      </c>
      <c r="I149" s="178">
        <v>768</v>
      </c>
      <c r="J149" s="180">
        <v>30705</v>
      </c>
    </row>
    <row r="150" spans="1:10">
      <c r="A150" s="178">
        <v>645</v>
      </c>
      <c r="B150" s="180">
        <v>23983</v>
      </c>
      <c r="C150" s="179">
        <v>676</v>
      </c>
      <c r="D150" s="180">
        <v>25638</v>
      </c>
      <c r="E150" s="179">
        <v>707</v>
      </c>
      <c r="F150" s="180">
        <v>27321</v>
      </c>
      <c r="G150" s="179">
        <v>738</v>
      </c>
      <c r="H150" s="180">
        <v>29029</v>
      </c>
      <c r="I150" s="178">
        <v>769</v>
      </c>
      <c r="J150" s="180">
        <v>30761</v>
      </c>
    </row>
    <row r="151" spans="1:10">
      <c r="A151" s="178">
        <v>646</v>
      </c>
      <c r="B151" s="180">
        <v>24036</v>
      </c>
      <c r="C151" s="179">
        <v>677</v>
      </c>
      <c r="D151" s="180">
        <v>25692</v>
      </c>
      <c r="E151" s="179">
        <v>708</v>
      </c>
      <c r="F151" s="180">
        <v>27375</v>
      </c>
      <c r="G151" s="179">
        <v>739</v>
      </c>
      <c r="H151" s="180">
        <v>29084</v>
      </c>
      <c r="I151" s="178">
        <v>770</v>
      </c>
      <c r="J151" s="180">
        <v>30817</v>
      </c>
    </row>
    <row r="152" spans="1:10">
      <c r="A152" s="178">
        <v>647</v>
      </c>
      <c r="B152" s="180">
        <v>24089</v>
      </c>
      <c r="C152" s="179">
        <v>678</v>
      </c>
      <c r="D152" s="180">
        <v>25746</v>
      </c>
      <c r="E152" s="179">
        <v>709</v>
      </c>
      <c r="F152" s="180">
        <v>27430</v>
      </c>
      <c r="G152" s="179">
        <v>740</v>
      </c>
      <c r="H152" s="180">
        <v>29140</v>
      </c>
      <c r="I152" s="178">
        <v>771</v>
      </c>
      <c r="J152" s="180">
        <v>30873</v>
      </c>
    </row>
    <row r="153" spans="1:10">
      <c r="A153" s="178">
        <v>648</v>
      </c>
      <c r="B153" s="180">
        <v>24142</v>
      </c>
      <c r="C153" s="179">
        <v>679</v>
      </c>
      <c r="D153" s="180">
        <v>25800</v>
      </c>
      <c r="E153" s="179">
        <v>710</v>
      </c>
      <c r="F153" s="180">
        <v>27485</v>
      </c>
      <c r="G153" s="179">
        <v>741</v>
      </c>
      <c r="H153" s="180">
        <v>29195</v>
      </c>
      <c r="I153" s="178">
        <v>772</v>
      </c>
      <c r="J153" s="180">
        <v>30930</v>
      </c>
    </row>
    <row r="154" spans="1:10">
      <c r="A154" s="178">
        <v>649</v>
      </c>
      <c r="B154" s="180">
        <v>24195</v>
      </c>
      <c r="C154" s="179">
        <v>680</v>
      </c>
      <c r="D154" s="180">
        <v>25854</v>
      </c>
      <c r="E154" s="179">
        <v>711</v>
      </c>
      <c r="F154" s="180">
        <v>27540</v>
      </c>
      <c r="G154" s="179">
        <v>742</v>
      </c>
      <c r="H154" s="180">
        <v>29251</v>
      </c>
      <c r="I154" s="178">
        <v>773</v>
      </c>
      <c r="J154" s="180">
        <v>30986</v>
      </c>
    </row>
    <row r="155" spans="1:10">
      <c r="A155" s="178">
        <v>650</v>
      </c>
      <c r="B155" s="180">
        <v>24248</v>
      </c>
      <c r="C155" s="179">
        <v>681</v>
      </c>
      <c r="D155" s="180">
        <v>25908</v>
      </c>
      <c r="E155" s="179">
        <v>712</v>
      </c>
      <c r="F155" s="180">
        <v>27594</v>
      </c>
      <c r="G155" s="179">
        <v>743</v>
      </c>
      <c r="H155" s="180">
        <v>29306</v>
      </c>
      <c r="I155" s="178">
        <v>774</v>
      </c>
      <c r="J155" s="180">
        <v>31042</v>
      </c>
    </row>
    <row r="156" spans="1:10">
      <c r="A156" s="178">
        <v>775</v>
      </c>
      <c r="B156" s="180">
        <v>31099</v>
      </c>
      <c r="C156" s="179">
        <v>806</v>
      </c>
      <c r="D156" s="180">
        <v>32858</v>
      </c>
      <c r="E156" s="179">
        <v>837</v>
      </c>
      <c r="F156" s="180">
        <v>34639</v>
      </c>
      <c r="G156" s="179">
        <v>868</v>
      </c>
      <c r="H156" s="180">
        <v>36440</v>
      </c>
      <c r="I156" s="178">
        <v>899</v>
      </c>
      <c r="J156" s="180">
        <v>38260</v>
      </c>
    </row>
    <row r="157" spans="1:10">
      <c r="A157" s="178">
        <v>776</v>
      </c>
      <c r="B157" s="180">
        <v>31155</v>
      </c>
      <c r="C157" s="179">
        <v>807</v>
      </c>
      <c r="D157" s="180">
        <v>32915</v>
      </c>
      <c r="E157" s="179">
        <v>838</v>
      </c>
      <c r="F157" s="180">
        <v>34697</v>
      </c>
      <c r="G157" s="179">
        <v>869</v>
      </c>
      <c r="H157" s="180">
        <v>36498</v>
      </c>
      <c r="I157" s="178">
        <v>900</v>
      </c>
      <c r="J157" s="180">
        <v>38319</v>
      </c>
    </row>
    <row r="158" spans="1:10">
      <c r="A158" s="178">
        <v>777</v>
      </c>
      <c r="B158" s="180">
        <v>31212</v>
      </c>
      <c r="C158" s="179">
        <v>808</v>
      </c>
      <c r="D158" s="180">
        <v>32972</v>
      </c>
      <c r="E158" s="179">
        <v>839</v>
      </c>
      <c r="F158" s="180">
        <v>34755</v>
      </c>
      <c r="G158" s="179">
        <v>870</v>
      </c>
      <c r="H158" s="180">
        <v>36557</v>
      </c>
      <c r="I158" s="178">
        <v>901</v>
      </c>
      <c r="J158" s="180">
        <v>38378</v>
      </c>
    </row>
    <row r="159" spans="1:10">
      <c r="A159" s="178">
        <v>778</v>
      </c>
      <c r="B159" s="180">
        <v>31268</v>
      </c>
      <c r="C159" s="179">
        <v>809</v>
      </c>
      <c r="D159" s="180">
        <v>33030</v>
      </c>
      <c r="E159" s="179">
        <v>840</v>
      </c>
      <c r="F159" s="180">
        <v>34812</v>
      </c>
      <c r="G159" s="179">
        <v>871</v>
      </c>
      <c r="H159" s="180">
        <v>36615</v>
      </c>
      <c r="I159" s="178">
        <v>902</v>
      </c>
      <c r="J159" s="180">
        <v>38437</v>
      </c>
    </row>
    <row r="160" spans="1:10">
      <c r="A160" s="178">
        <v>779</v>
      </c>
      <c r="B160" s="180">
        <v>31325</v>
      </c>
      <c r="C160" s="179">
        <v>810</v>
      </c>
      <c r="D160" s="180">
        <v>33087</v>
      </c>
      <c r="E160" s="179">
        <v>841</v>
      </c>
      <c r="F160" s="180">
        <v>34870</v>
      </c>
      <c r="G160" s="179">
        <v>872</v>
      </c>
      <c r="H160" s="180">
        <v>36674</v>
      </c>
      <c r="I160" s="178">
        <v>903</v>
      </c>
      <c r="J160" s="180">
        <v>38496</v>
      </c>
    </row>
    <row r="161" spans="1:10">
      <c r="A161" s="178">
        <v>780</v>
      </c>
      <c r="B161" s="180">
        <v>31381</v>
      </c>
      <c r="C161" s="179">
        <v>811</v>
      </c>
      <c r="D161" s="180">
        <v>33144</v>
      </c>
      <c r="E161" s="179">
        <v>842</v>
      </c>
      <c r="F161" s="180">
        <v>34928</v>
      </c>
      <c r="G161" s="179">
        <v>873</v>
      </c>
      <c r="H161" s="180">
        <v>36732</v>
      </c>
      <c r="I161" s="178">
        <v>904</v>
      </c>
      <c r="J161" s="180">
        <v>38555</v>
      </c>
    </row>
    <row r="162" spans="1:10">
      <c r="A162" s="178">
        <v>781</v>
      </c>
      <c r="B162" s="180">
        <v>31438</v>
      </c>
      <c r="C162" s="179">
        <v>812</v>
      </c>
      <c r="D162" s="180">
        <v>33201</v>
      </c>
      <c r="E162" s="179">
        <v>843</v>
      </c>
      <c r="F162" s="180">
        <v>34986</v>
      </c>
      <c r="G162" s="179">
        <v>874</v>
      </c>
      <c r="H162" s="180">
        <v>36791</v>
      </c>
      <c r="I162" s="178">
        <v>905</v>
      </c>
      <c r="J162" s="180">
        <v>38614</v>
      </c>
    </row>
    <row r="163" spans="1:10">
      <c r="A163" s="178">
        <v>782</v>
      </c>
      <c r="B163" s="180">
        <v>31494</v>
      </c>
      <c r="C163" s="179">
        <v>813</v>
      </c>
      <c r="D163" s="180">
        <v>33258</v>
      </c>
      <c r="E163" s="179">
        <v>844</v>
      </c>
      <c r="F163" s="180">
        <v>35044</v>
      </c>
      <c r="G163" s="179">
        <v>875</v>
      </c>
      <c r="H163" s="180">
        <v>36849</v>
      </c>
      <c r="I163" s="178">
        <v>906</v>
      </c>
      <c r="J163" s="180">
        <v>38673</v>
      </c>
    </row>
    <row r="164" spans="1:10">
      <c r="A164" s="178">
        <v>783</v>
      </c>
      <c r="B164" s="180">
        <v>31551</v>
      </c>
      <c r="C164" s="179">
        <v>814</v>
      </c>
      <c r="D164" s="180">
        <v>33316</v>
      </c>
      <c r="E164" s="179">
        <v>845</v>
      </c>
      <c r="F164" s="180">
        <v>35102</v>
      </c>
      <c r="G164" s="179">
        <v>676</v>
      </c>
      <c r="H164" s="180">
        <v>36908</v>
      </c>
      <c r="I164" s="178">
        <v>907</v>
      </c>
      <c r="J164" s="180">
        <v>38732</v>
      </c>
    </row>
    <row r="165" spans="1:10">
      <c r="A165" s="178">
        <v>784</v>
      </c>
      <c r="B165" s="180">
        <v>31607</v>
      </c>
      <c r="C165" s="179">
        <v>815</v>
      </c>
      <c r="D165" s="180">
        <v>33373</v>
      </c>
      <c r="E165" s="179">
        <v>846</v>
      </c>
      <c r="F165" s="180">
        <v>35160</v>
      </c>
      <c r="G165" s="179">
        <v>877</v>
      </c>
      <c r="H165" s="180">
        <v>36966</v>
      </c>
      <c r="I165" s="178">
        <v>908</v>
      </c>
      <c r="J165" s="180">
        <v>38792</v>
      </c>
    </row>
    <row r="166" spans="1:10">
      <c r="A166" s="178">
        <v>785</v>
      </c>
      <c r="B166" s="180">
        <v>31664</v>
      </c>
      <c r="C166" s="179">
        <v>816</v>
      </c>
      <c r="D166" s="180">
        <v>33430</v>
      </c>
      <c r="E166" s="179">
        <v>847</v>
      </c>
      <c r="F166" s="180">
        <v>35218</v>
      </c>
      <c r="G166" s="179">
        <v>878</v>
      </c>
      <c r="H166" s="180">
        <v>37025</v>
      </c>
      <c r="I166" s="178">
        <v>909</v>
      </c>
      <c r="J166" s="180">
        <v>38851</v>
      </c>
    </row>
    <row r="167" spans="1:10">
      <c r="A167" s="178">
        <v>786</v>
      </c>
      <c r="B167" s="180">
        <v>31721</v>
      </c>
      <c r="C167" s="179">
        <v>817</v>
      </c>
      <c r="D167" s="180">
        <v>33488</v>
      </c>
      <c r="E167" s="179">
        <v>848</v>
      </c>
      <c r="F167" s="180">
        <v>35276</v>
      </c>
      <c r="G167" s="179">
        <v>879</v>
      </c>
      <c r="H167" s="180">
        <v>37084</v>
      </c>
      <c r="I167" s="178">
        <v>910</v>
      </c>
      <c r="J167" s="180">
        <v>38910</v>
      </c>
    </row>
    <row r="168" spans="1:10">
      <c r="A168" s="178">
        <v>787</v>
      </c>
      <c r="B168" s="180">
        <v>31777</v>
      </c>
      <c r="C168" s="179">
        <v>818</v>
      </c>
      <c r="D168" s="180">
        <v>33545</v>
      </c>
      <c r="E168" s="179">
        <v>849</v>
      </c>
      <c r="F168" s="180">
        <v>35334</v>
      </c>
      <c r="G168" s="179">
        <v>880</v>
      </c>
      <c r="H168" s="180">
        <v>37142</v>
      </c>
      <c r="I168" s="178">
        <v>911</v>
      </c>
      <c r="J168" s="180">
        <v>38969</v>
      </c>
    </row>
    <row r="169" spans="1:10">
      <c r="A169" s="178">
        <v>788</v>
      </c>
      <c r="B169" s="180">
        <v>31834</v>
      </c>
      <c r="C169" s="179">
        <v>819</v>
      </c>
      <c r="D169" s="180">
        <v>33602</v>
      </c>
      <c r="E169" s="179">
        <v>850</v>
      </c>
      <c r="F169" s="180">
        <v>35392</v>
      </c>
      <c r="G169" s="179">
        <v>881</v>
      </c>
      <c r="H169" s="180">
        <v>37201</v>
      </c>
      <c r="I169" s="178">
        <v>912</v>
      </c>
      <c r="J169" s="180">
        <v>39028</v>
      </c>
    </row>
    <row r="170" spans="1:10">
      <c r="A170" s="178">
        <v>789</v>
      </c>
      <c r="B170" s="180">
        <v>31891</v>
      </c>
      <c r="C170" s="179">
        <v>820</v>
      </c>
      <c r="D170" s="180">
        <v>33660</v>
      </c>
      <c r="E170" s="179">
        <v>851</v>
      </c>
      <c r="F170" s="180">
        <v>35450</v>
      </c>
      <c r="G170" s="179">
        <v>882</v>
      </c>
      <c r="H170" s="180">
        <v>37260</v>
      </c>
      <c r="I170" s="178">
        <v>913</v>
      </c>
      <c r="J170" s="180">
        <v>39088</v>
      </c>
    </row>
    <row r="171" spans="1:10">
      <c r="A171" s="178">
        <v>790</v>
      </c>
      <c r="B171" s="180">
        <v>31947</v>
      </c>
      <c r="C171" s="179">
        <v>821</v>
      </c>
      <c r="D171" s="180">
        <v>33717</v>
      </c>
      <c r="E171" s="179">
        <v>852</v>
      </c>
      <c r="F171" s="180">
        <v>35508</v>
      </c>
      <c r="G171" s="179">
        <v>883</v>
      </c>
      <c r="H171" s="180">
        <v>37318</v>
      </c>
      <c r="I171" s="178">
        <v>914</v>
      </c>
      <c r="J171" s="180">
        <v>39147</v>
      </c>
    </row>
    <row r="172" spans="1:10">
      <c r="A172" s="178">
        <v>791</v>
      </c>
      <c r="B172" s="180">
        <v>32004</v>
      </c>
      <c r="C172" s="179">
        <v>822</v>
      </c>
      <c r="D172" s="180">
        <v>33775</v>
      </c>
      <c r="E172" s="179">
        <v>853</v>
      </c>
      <c r="F172" s="180">
        <v>35566</v>
      </c>
      <c r="G172" s="179">
        <v>884</v>
      </c>
      <c r="H172" s="180">
        <v>37377</v>
      </c>
      <c r="I172" s="178">
        <v>915</v>
      </c>
      <c r="J172" s="180">
        <v>39206</v>
      </c>
    </row>
    <row r="173" spans="1:10">
      <c r="A173" s="178">
        <v>792</v>
      </c>
      <c r="B173" s="180">
        <v>32061</v>
      </c>
      <c r="C173" s="179">
        <v>823</v>
      </c>
      <c r="D173" s="180">
        <v>33832</v>
      </c>
      <c r="E173" s="179">
        <v>854</v>
      </c>
      <c r="F173" s="180">
        <v>35624</v>
      </c>
      <c r="G173" s="179">
        <v>885</v>
      </c>
      <c r="H173" s="180">
        <v>37436</v>
      </c>
      <c r="I173" s="178">
        <v>916</v>
      </c>
      <c r="J173" s="180">
        <v>39266</v>
      </c>
    </row>
    <row r="174" spans="1:10">
      <c r="A174" s="178">
        <v>793</v>
      </c>
      <c r="B174" s="180">
        <v>32118</v>
      </c>
      <c r="C174" s="179">
        <v>824</v>
      </c>
      <c r="D174" s="180">
        <v>33890</v>
      </c>
      <c r="E174" s="179">
        <v>855</v>
      </c>
      <c r="F174" s="180">
        <v>35662</v>
      </c>
      <c r="G174" s="179">
        <v>886</v>
      </c>
      <c r="H174" s="180">
        <v>37494</v>
      </c>
      <c r="I174" s="178">
        <v>917</v>
      </c>
      <c r="J174" s="180">
        <v>39325</v>
      </c>
    </row>
    <row r="175" spans="1:10">
      <c r="A175" s="178">
        <v>794</v>
      </c>
      <c r="B175" s="180">
        <v>32175</v>
      </c>
      <c r="C175" s="179">
        <v>825</v>
      </c>
      <c r="D175" s="180">
        <v>33947</v>
      </c>
      <c r="E175" s="179">
        <v>856</v>
      </c>
      <c r="F175" s="180">
        <v>35740</v>
      </c>
      <c r="G175" s="179">
        <v>887</v>
      </c>
      <c r="H175" s="180">
        <v>37553</v>
      </c>
      <c r="I175" s="178">
        <v>918</v>
      </c>
      <c r="J175" s="180">
        <v>39384</v>
      </c>
    </row>
    <row r="176" spans="1:10">
      <c r="A176" s="178">
        <v>795</v>
      </c>
      <c r="B176" s="180">
        <v>32231</v>
      </c>
      <c r="C176" s="179">
        <v>826</v>
      </c>
      <c r="D176" s="180">
        <v>34005</v>
      </c>
      <c r="E176" s="179">
        <v>857</v>
      </c>
      <c r="F176" s="180">
        <v>35799</v>
      </c>
      <c r="G176" s="179">
        <v>888</v>
      </c>
      <c r="H176" s="180">
        <v>37612</v>
      </c>
      <c r="I176" s="178">
        <v>919</v>
      </c>
      <c r="J176" s="180">
        <v>39444</v>
      </c>
    </row>
    <row r="177" spans="1:10">
      <c r="A177" s="178">
        <v>796</v>
      </c>
      <c r="B177" s="180">
        <v>32288</v>
      </c>
      <c r="C177" s="179">
        <v>827</v>
      </c>
      <c r="D177" s="180">
        <v>34062</v>
      </c>
      <c r="E177" s="179">
        <v>858</v>
      </c>
      <c r="F177" s="180">
        <v>35857</v>
      </c>
      <c r="G177" s="179">
        <v>889</v>
      </c>
      <c r="H177" s="180">
        <v>37671</v>
      </c>
      <c r="I177" s="178">
        <v>920</v>
      </c>
      <c r="J177" s="180">
        <v>39503</v>
      </c>
    </row>
    <row r="178" spans="1:10">
      <c r="A178" s="178">
        <v>797</v>
      </c>
      <c r="B178" s="180">
        <v>32345</v>
      </c>
      <c r="C178" s="179">
        <v>828</v>
      </c>
      <c r="D178" s="180">
        <v>34120</v>
      </c>
      <c r="E178" s="179">
        <v>859</v>
      </c>
      <c r="F178" s="180">
        <v>35915</v>
      </c>
      <c r="G178" s="179">
        <v>890</v>
      </c>
      <c r="H178" s="180">
        <v>37730</v>
      </c>
      <c r="I178" s="178">
        <v>921</v>
      </c>
      <c r="J178" s="180">
        <v>39562</v>
      </c>
    </row>
    <row r="179" spans="1:10">
      <c r="A179" s="178">
        <v>798</v>
      </c>
      <c r="B179" s="180">
        <v>32402</v>
      </c>
      <c r="C179" s="179">
        <v>829</v>
      </c>
      <c r="D179" s="180">
        <v>34177</v>
      </c>
      <c r="E179" s="179">
        <v>860</v>
      </c>
      <c r="F179" s="180">
        <v>35973</v>
      </c>
      <c r="G179" s="179">
        <v>891</v>
      </c>
      <c r="H179" s="180">
        <v>37788</v>
      </c>
      <c r="I179" s="178">
        <v>922</v>
      </c>
      <c r="J179" s="180">
        <v>39622</v>
      </c>
    </row>
    <row r="180" spans="1:10">
      <c r="A180" s="178">
        <v>799</v>
      </c>
      <c r="B180" s="180">
        <v>32459</v>
      </c>
      <c r="C180" s="179">
        <v>830</v>
      </c>
      <c r="D180" s="180">
        <v>34235</v>
      </c>
      <c r="E180" s="179">
        <v>861</v>
      </c>
      <c r="F180" s="180">
        <v>36032</v>
      </c>
      <c r="G180" s="179">
        <v>892</v>
      </c>
      <c r="H180" s="180">
        <v>37847</v>
      </c>
      <c r="I180" s="178">
        <v>923</v>
      </c>
      <c r="J180" s="180">
        <v>39681</v>
      </c>
    </row>
    <row r="181" spans="1:10">
      <c r="A181" s="178">
        <v>800</v>
      </c>
      <c r="B181" s="180">
        <v>32516</v>
      </c>
      <c r="C181" s="179">
        <v>831</v>
      </c>
      <c r="D181" s="180">
        <v>34293</v>
      </c>
      <c r="E181" s="179">
        <v>862</v>
      </c>
      <c r="F181" s="180">
        <v>36090</v>
      </c>
      <c r="G181" s="179">
        <v>893</v>
      </c>
      <c r="H181" s="180">
        <v>37906</v>
      </c>
      <c r="I181" s="178">
        <v>924</v>
      </c>
      <c r="J181" s="180">
        <v>39740</v>
      </c>
    </row>
    <row r="182" spans="1:10">
      <c r="A182" s="178">
        <v>801</v>
      </c>
      <c r="B182" s="180">
        <v>32573</v>
      </c>
      <c r="C182" s="179">
        <v>832</v>
      </c>
      <c r="D182" s="180">
        <v>34350</v>
      </c>
      <c r="E182" s="179">
        <v>863</v>
      </c>
      <c r="F182" s="180">
        <v>36148</v>
      </c>
      <c r="G182" s="179">
        <v>894</v>
      </c>
      <c r="H182" s="180">
        <v>37965</v>
      </c>
      <c r="I182" s="178">
        <v>925</v>
      </c>
      <c r="J182" s="180">
        <v>39800</v>
      </c>
    </row>
    <row r="183" spans="1:10">
      <c r="A183" s="178">
        <v>802</v>
      </c>
      <c r="B183" s="180">
        <v>32630</v>
      </c>
      <c r="C183" s="179">
        <v>833</v>
      </c>
      <c r="D183" s="180">
        <v>34408</v>
      </c>
      <c r="E183" s="179">
        <v>864</v>
      </c>
      <c r="F183" s="180">
        <v>36206</v>
      </c>
      <c r="G183" s="179">
        <v>895</v>
      </c>
      <c r="H183" s="180">
        <v>38024</v>
      </c>
      <c r="I183" s="178">
        <v>926</v>
      </c>
      <c r="J183" s="180">
        <v>39860</v>
      </c>
    </row>
    <row r="184" spans="1:10">
      <c r="A184" s="178">
        <v>803</v>
      </c>
      <c r="B184" s="180">
        <v>32687</v>
      </c>
      <c r="C184" s="179">
        <v>834</v>
      </c>
      <c r="D184" s="180">
        <v>34466</v>
      </c>
      <c r="E184" s="179">
        <v>865</v>
      </c>
      <c r="F184" s="180">
        <v>36265</v>
      </c>
      <c r="G184" s="179">
        <v>896</v>
      </c>
      <c r="H184" s="180">
        <v>38083</v>
      </c>
      <c r="I184" s="178">
        <v>927</v>
      </c>
      <c r="J184" s="180">
        <v>39919</v>
      </c>
    </row>
    <row r="185" spans="1:10">
      <c r="A185" s="178">
        <v>804</v>
      </c>
      <c r="B185" s="180">
        <v>32744</v>
      </c>
      <c r="C185" s="179">
        <v>835</v>
      </c>
      <c r="D185" s="180">
        <v>34523</v>
      </c>
      <c r="E185" s="179">
        <v>866</v>
      </c>
      <c r="F185" s="180">
        <v>36323</v>
      </c>
      <c r="G185" s="179">
        <v>897</v>
      </c>
      <c r="H185" s="180">
        <v>38142</v>
      </c>
      <c r="I185" s="178">
        <v>928</v>
      </c>
      <c r="J185" s="180">
        <v>39979</v>
      </c>
    </row>
    <row r="186" spans="1:10">
      <c r="A186" s="178">
        <v>805</v>
      </c>
      <c r="B186" s="180">
        <v>32801</v>
      </c>
      <c r="C186" s="179">
        <v>836</v>
      </c>
      <c r="D186" s="180">
        <v>34581</v>
      </c>
      <c r="E186" s="179">
        <v>867</v>
      </c>
      <c r="F186" s="180">
        <v>36381</v>
      </c>
      <c r="G186" s="179">
        <v>898</v>
      </c>
      <c r="H186" s="180">
        <v>38201</v>
      </c>
      <c r="I186" s="178">
        <v>929</v>
      </c>
      <c r="J186" s="180">
        <v>40038</v>
      </c>
    </row>
    <row r="187" spans="1:10">
      <c r="A187" s="178">
        <v>930</v>
      </c>
      <c r="B187" s="180">
        <v>40098</v>
      </c>
      <c r="C187" s="179">
        <v>961</v>
      </c>
      <c r="D187" s="180">
        <v>41952</v>
      </c>
      <c r="E187" s="179">
        <v>992</v>
      </c>
      <c r="F187" s="180">
        <v>43823</v>
      </c>
      <c r="G187" s="179">
        <v>1023</v>
      </c>
      <c r="H187" s="180">
        <v>45708</v>
      </c>
      <c r="I187" s="178">
        <v>1054</v>
      </c>
      <c r="J187" s="180">
        <v>47606</v>
      </c>
    </row>
    <row r="188" spans="1:10">
      <c r="A188" s="178">
        <v>931</v>
      </c>
      <c r="B188" s="180">
        <v>40157</v>
      </c>
      <c r="C188" s="179">
        <v>962</v>
      </c>
      <c r="D188" s="180">
        <v>42012</v>
      </c>
      <c r="E188" s="179">
        <v>993</v>
      </c>
      <c r="F188" s="180">
        <v>43883</v>
      </c>
      <c r="G188" s="179">
        <v>1024</v>
      </c>
      <c r="H188" s="180">
        <v>45769</v>
      </c>
      <c r="I188" s="178">
        <v>1055</v>
      </c>
      <c r="J188" s="180">
        <v>47668</v>
      </c>
    </row>
    <row r="189" spans="1:10">
      <c r="A189" s="178">
        <v>932</v>
      </c>
      <c r="B189" s="180">
        <v>40217</v>
      </c>
      <c r="C189" s="179">
        <v>963</v>
      </c>
      <c r="D189" s="180">
        <v>42073</v>
      </c>
      <c r="E189" s="179">
        <v>994</v>
      </c>
      <c r="F189" s="180">
        <v>43944</v>
      </c>
      <c r="G189" s="179">
        <v>1025</v>
      </c>
      <c r="H189" s="180">
        <v>45830</v>
      </c>
      <c r="I189" s="178">
        <v>1056</v>
      </c>
      <c r="J189" s="180">
        <v>47729</v>
      </c>
    </row>
    <row r="190" spans="1:10">
      <c r="A190" s="178">
        <v>933</v>
      </c>
      <c r="B190" s="180">
        <v>40276</v>
      </c>
      <c r="C190" s="179">
        <v>964</v>
      </c>
      <c r="D190" s="180">
        <v>42133</v>
      </c>
      <c r="E190" s="179">
        <v>995</v>
      </c>
      <c r="F190" s="180">
        <v>44004</v>
      </c>
      <c r="G190" s="179">
        <v>1026</v>
      </c>
      <c r="H190" s="180">
        <v>45891</v>
      </c>
      <c r="I190" s="178">
        <v>1057</v>
      </c>
      <c r="J190" s="180">
        <v>47791</v>
      </c>
    </row>
    <row r="191" spans="1:10">
      <c r="A191" s="178">
        <v>934</v>
      </c>
      <c r="B191" s="180">
        <v>40336</v>
      </c>
      <c r="C191" s="179">
        <v>965</v>
      </c>
      <c r="D191" s="180">
        <v>42193</v>
      </c>
      <c r="E191" s="179">
        <v>996</v>
      </c>
      <c r="F191" s="180">
        <v>44065</v>
      </c>
      <c r="G191" s="179">
        <v>1027</v>
      </c>
      <c r="H191" s="180">
        <v>45952</v>
      </c>
      <c r="I191" s="178">
        <v>1058</v>
      </c>
      <c r="J191" s="180">
        <v>47852</v>
      </c>
    </row>
    <row r="192" spans="1:10">
      <c r="A192" s="178">
        <v>935</v>
      </c>
      <c r="B192" s="180">
        <v>40396</v>
      </c>
      <c r="C192" s="179">
        <v>966</v>
      </c>
      <c r="D192" s="180">
        <v>42253</v>
      </c>
      <c r="E192" s="179">
        <v>997</v>
      </c>
      <c r="F192" s="180">
        <v>44126</v>
      </c>
      <c r="G192" s="179">
        <v>1028</v>
      </c>
      <c r="H192" s="180">
        <v>46013</v>
      </c>
      <c r="I192" s="178">
        <v>1059</v>
      </c>
      <c r="J192" s="180">
        <v>47914</v>
      </c>
    </row>
    <row r="193" spans="1:10">
      <c r="A193" s="178">
        <v>936</v>
      </c>
      <c r="B193" s="180">
        <v>40455</v>
      </c>
      <c r="C193" s="179">
        <v>967</v>
      </c>
      <c r="D193" s="180">
        <v>42313</v>
      </c>
      <c r="E193" s="179">
        <v>998</v>
      </c>
      <c r="F193" s="180">
        <v>44186</v>
      </c>
      <c r="G193" s="179">
        <v>1029</v>
      </c>
      <c r="H193" s="180">
        <v>46074</v>
      </c>
      <c r="I193" s="178">
        <v>1060</v>
      </c>
      <c r="J193" s="180">
        <v>47975</v>
      </c>
    </row>
    <row r="194" spans="1:10">
      <c r="A194" s="178">
        <v>937</v>
      </c>
      <c r="B194" s="180">
        <v>40515</v>
      </c>
      <c r="C194" s="179">
        <v>968</v>
      </c>
      <c r="D194" s="180">
        <v>42373</v>
      </c>
      <c r="E194" s="179">
        <v>999</v>
      </c>
      <c r="F194" s="180">
        <v>44247</v>
      </c>
      <c r="G194" s="179">
        <v>1030</v>
      </c>
      <c r="H194" s="180">
        <v>46135</v>
      </c>
      <c r="I194" s="178">
        <v>1061</v>
      </c>
      <c r="J194" s="180">
        <v>48037</v>
      </c>
    </row>
    <row r="195" spans="1:10">
      <c r="A195" s="178">
        <v>938</v>
      </c>
      <c r="B195" s="180">
        <v>40575</v>
      </c>
      <c r="C195" s="179">
        <v>969</v>
      </c>
      <c r="D195" s="180">
        <v>42434</v>
      </c>
      <c r="E195" s="179">
        <v>1000</v>
      </c>
      <c r="F195" s="180">
        <v>44308</v>
      </c>
      <c r="G195" s="179">
        <v>1031</v>
      </c>
      <c r="H195" s="180">
        <v>46196</v>
      </c>
      <c r="I195" s="178">
        <v>1062</v>
      </c>
      <c r="J195" s="180">
        <v>48098</v>
      </c>
    </row>
    <row r="196" spans="1:10">
      <c r="A196" s="178">
        <v>939</v>
      </c>
      <c r="B196" s="180">
        <v>40634</v>
      </c>
      <c r="C196" s="179">
        <v>970</v>
      </c>
      <c r="D196" s="180">
        <v>42494</v>
      </c>
      <c r="E196" s="179">
        <v>1001</v>
      </c>
      <c r="F196" s="180">
        <v>44368</v>
      </c>
      <c r="G196" s="179">
        <v>1032</v>
      </c>
      <c r="H196" s="180">
        <v>46257</v>
      </c>
      <c r="I196" s="178">
        <v>1063</v>
      </c>
      <c r="J196" s="180">
        <v>48160</v>
      </c>
    </row>
    <row r="197" spans="1:10">
      <c r="A197" s="178">
        <v>940</v>
      </c>
      <c r="B197" s="180">
        <v>40694</v>
      </c>
      <c r="C197" s="179">
        <v>971</v>
      </c>
      <c r="D197" s="180">
        <v>42554</v>
      </c>
      <c r="E197" s="179">
        <v>1002</v>
      </c>
      <c r="F197" s="180">
        <v>44429</v>
      </c>
      <c r="G197" s="179">
        <v>1033</v>
      </c>
      <c r="H197" s="180">
        <v>46319</v>
      </c>
      <c r="I197" s="178">
        <v>1064</v>
      </c>
      <c r="J197" s="180">
        <v>48221</v>
      </c>
    </row>
    <row r="198" spans="1:10">
      <c r="A198" s="178">
        <v>941</v>
      </c>
      <c r="B198" s="180">
        <v>40754</v>
      </c>
      <c r="C198" s="179">
        <v>972</v>
      </c>
      <c r="D198" s="180">
        <v>42614</v>
      </c>
      <c r="E198" s="179">
        <v>1003</v>
      </c>
      <c r="F198" s="180">
        <v>44490</v>
      </c>
      <c r="G198" s="179">
        <v>1034</v>
      </c>
      <c r="H198" s="180">
        <v>46380</v>
      </c>
      <c r="I198" s="178">
        <v>1065</v>
      </c>
      <c r="J198" s="180">
        <v>48283</v>
      </c>
    </row>
    <row r="199" spans="1:10">
      <c r="A199" s="178">
        <v>942</v>
      </c>
      <c r="B199" s="180">
        <v>40814</v>
      </c>
      <c r="C199" s="179">
        <v>973</v>
      </c>
      <c r="D199" s="180">
        <v>42675</v>
      </c>
      <c r="E199" s="179">
        <v>1004</v>
      </c>
      <c r="F199" s="180">
        <v>44551</v>
      </c>
      <c r="G199" s="179">
        <v>1035</v>
      </c>
      <c r="H199" s="180">
        <v>46441</v>
      </c>
      <c r="I199" s="178">
        <v>1066</v>
      </c>
      <c r="J199" s="180">
        <v>48345</v>
      </c>
    </row>
    <row r="200" spans="1:10">
      <c r="A200" s="178">
        <v>943</v>
      </c>
      <c r="B200" s="180">
        <v>40873</v>
      </c>
      <c r="C200" s="179">
        <v>974</v>
      </c>
      <c r="D200" s="180">
        <v>42735</v>
      </c>
      <c r="E200" s="179">
        <v>1005</v>
      </c>
      <c r="F200" s="180">
        <v>44611</v>
      </c>
      <c r="G200" s="179">
        <v>1036</v>
      </c>
      <c r="H200" s="180">
        <v>46502</v>
      </c>
      <c r="I200" s="178">
        <v>1067</v>
      </c>
      <c r="J200" s="180">
        <v>48406</v>
      </c>
    </row>
    <row r="201" spans="1:10">
      <c r="A201" s="178">
        <v>944</v>
      </c>
      <c r="B201" s="180">
        <v>40933</v>
      </c>
      <c r="C201" s="179">
        <v>975</v>
      </c>
      <c r="D201" s="180">
        <v>42795</v>
      </c>
      <c r="E201" s="179">
        <v>1006</v>
      </c>
      <c r="F201" s="180">
        <v>44672</v>
      </c>
      <c r="G201" s="179">
        <v>1037</v>
      </c>
      <c r="H201" s="180">
        <v>46563</v>
      </c>
      <c r="I201" s="178">
        <v>1068</v>
      </c>
      <c r="J201" s="180">
        <v>48468</v>
      </c>
    </row>
    <row r="202" spans="1:10">
      <c r="A202" s="178">
        <v>945</v>
      </c>
      <c r="B202" s="180">
        <v>40993</v>
      </c>
      <c r="C202" s="179">
        <v>976</v>
      </c>
      <c r="D202" s="180">
        <v>42855</v>
      </c>
      <c r="E202" s="179">
        <v>1007</v>
      </c>
      <c r="F202" s="180">
        <v>44733</v>
      </c>
      <c r="G202" s="179">
        <v>1038</v>
      </c>
      <c r="H202" s="180">
        <v>46625</v>
      </c>
      <c r="I202" s="178">
        <v>1069</v>
      </c>
      <c r="J202" s="180">
        <v>48529</v>
      </c>
    </row>
    <row r="203" spans="1:10">
      <c r="A203" s="178">
        <v>946</v>
      </c>
      <c r="B203" s="180">
        <v>41053</v>
      </c>
      <c r="C203" s="179">
        <v>977</v>
      </c>
      <c r="D203" s="180">
        <v>42916</v>
      </c>
      <c r="E203" s="179">
        <v>1008</v>
      </c>
      <c r="F203" s="180">
        <v>44794</v>
      </c>
      <c r="G203" s="179">
        <v>1039</v>
      </c>
      <c r="H203" s="180">
        <v>46686</v>
      </c>
      <c r="I203" s="178">
        <v>1070</v>
      </c>
      <c r="J203" s="180">
        <v>48591</v>
      </c>
    </row>
    <row r="204" spans="1:10">
      <c r="A204" s="178">
        <v>947</v>
      </c>
      <c r="B204" s="180">
        <v>41113</v>
      </c>
      <c r="C204" s="179">
        <v>978</v>
      </c>
      <c r="D204" s="180">
        <v>42976</v>
      </c>
      <c r="E204" s="179">
        <v>1009</v>
      </c>
      <c r="F204" s="180">
        <v>44855</v>
      </c>
      <c r="G204" s="179">
        <v>1040</v>
      </c>
      <c r="H204" s="180">
        <v>46747</v>
      </c>
      <c r="I204" s="178">
        <v>1071</v>
      </c>
      <c r="J204" s="180">
        <v>48653</v>
      </c>
    </row>
    <row r="205" spans="1:10">
      <c r="A205" s="178">
        <v>948</v>
      </c>
      <c r="B205" s="180">
        <v>41173</v>
      </c>
      <c r="C205" s="179">
        <v>979</v>
      </c>
      <c r="D205" s="180">
        <v>43036</v>
      </c>
      <c r="E205" s="179">
        <v>1010</v>
      </c>
      <c r="F205" s="180">
        <v>44915</v>
      </c>
      <c r="G205" s="179">
        <v>1041</v>
      </c>
      <c r="H205" s="180">
        <v>46808</v>
      </c>
      <c r="I205" s="178">
        <v>1072</v>
      </c>
      <c r="J205" s="180">
        <v>48714</v>
      </c>
    </row>
    <row r="206" spans="1:10">
      <c r="A206" s="178">
        <v>949</v>
      </c>
      <c r="B206" s="180">
        <v>41232</v>
      </c>
      <c r="C206" s="179">
        <v>980</v>
      </c>
      <c r="D206" s="180">
        <v>43097</v>
      </c>
      <c r="E206" s="179">
        <v>1011</v>
      </c>
      <c r="F206" s="180">
        <v>44976</v>
      </c>
      <c r="G206" s="179">
        <v>1042</v>
      </c>
      <c r="H206" s="180">
        <v>46870</v>
      </c>
      <c r="I206" s="178">
        <v>1073</v>
      </c>
      <c r="J206" s="180">
        <v>48776</v>
      </c>
    </row>
    <row r="207" spans="1:10">
      <c r="A207" s="178">
        <v>950</v>
      </c>
      <c r="B207" s="180">
        <v>41292</v>
      </c>
      <c r="C207" s="179">
        <v>981</v>
      </c>
      <c r="D207" s="180">
        <v>43157</v>
      </c>
      <c r="E207" s="179">
        <v>1012</v>
      </c>
      <c r="F207" s="180">
        <v>45037</v>
      </c>
      <c r="G207" s="179">
        <v>1043</v>
      </c>
      <c r="H207" s="180">
        <v>46931</v>
      </c>
      <c r="I207" s="178">
        <v>1074</v>
      </c>
      <c r="J207" s="180">
        <v>48838</v>
      </c>
    </row>
    <row r="208" spans="1:10">
      <c r="A208" s="178">
        <v>951</v>
      </c>
      <c r="B208" s="180">
        <v>41352</v>
      </c>
      <c r="C208" s="179">
        <v>982</v>
      </c>
      <c r="D208" s="180">
        <v>43218</v>
      </c>
      <c r="E208" s="179">
        <v>1013</v>
      </c>
      <c r="F208" s="180">
        <v>45098</v>
      </c>
      <c r="G208" s="179">
        <v>1044</v>
      </c>
      <c r="H208" s="180">
        <v>46992</v>
      </c>
      <c r="I208" s="178">
        <v>1075</v>
      </c>
      <c r="J208" s="180">
        <v>48900</v>
      </c>
    </row>
    <row r="209" spans="1:10">
      <c r="A209" s="178">
        <v>952</v>
      </c>
      <c r="B209" s="180">
        <v>41412</v>
      </c>
      <c r="C209" s="179">
        <v>983</v>
      </c>
      <c r="D209" s="180">
        <v>43278</v>
      </c>
      <c r="E209" s="179">
        <v>1014</v>
      </c>
      <c r="F209" s="180">
        <v>45159</v>
      </c>
      <c r="G209" s="179">
        <v>1045</v>
      </c>
      <c r="H209" s="180">
        <v>47054</v>
      </c>
      <c r="I209" s="178">
        <v>1076</v>
      </c>
      <c r="J209" s="180">
        <v>48961</v>
      </c>
    </row>
    <row r="210" spans="1:10">
      <c r="A210" s="178">
        <v>953</v>
      </c>
      <c r="B210" s="180">
        <v>41472</v>
      </c>
      <c r="C210" s="179">
        <v>984</v>
      </c>
      <c r="D210" s="180">
        <v>43339</v>
      </c>
      <c r="E210" s="179">
        <v>1015</v>
      </c>
      <c r="F210" s="180">
        <v>45220</v>
      </c>
      <c r="G210" s="179">
        <v>1046</v>
      </c>
      <c r="H210" s="180">
        <v>47115</v>
      </c>
      <c r="I210" s="178">
        <v>1077</v>
      </c>
      <c r="J210" s="180">
        <v>49023</v>
      </c>
    </row>
    <row r="211" spans="1:10">
      <c r="A211" s="178">
        <v>954</v>
      </c>
      <c r="B211" s="180">
        <v>41532</v>
      </c>
      <c r="C211" s="179">
        <v>985</v>
      </c>
      <c r="D211" s="180">
        <v>43399</v>
      </c>
      <c r="E211" s="179">
        <v>1016</v>
      </c>
      <c r="F211" s="180">
        <v>45281</v>
      </c>
      <c r="G211" s="179">
        <v>1047</v>
      </c>
      <c r="H211" s="180">
        <v>47176</v>
      </c>
      <c r="I211" s="178">
        <v>1078</v>
      </c>
      <c r="J211" s="180">
        <v>49085</v>
      </c>
    </row>
    <row r="212" spans="1:10">
      <c r="A212" s="178">
        <v>955</v>
      </c>
      <c r="B212" s="180">
        <v>41592</v>
      </c>
      <c r="C212" s="179">
        <v>986</v>
      </c>
      <c r="D212" s="180">
        <v>43459</v>
      </c>
      <c r="E212" s="179">
        <v>1017</v>
      </c>
      <c r="F212" s="180">
        <v>45342</v>
      </c>
      <c r="G212" s="179">
        <v>1048</v>
      </c>
      <c r="H212" s="180">
        <v>47238</v>
      </c>
      <c r="I212" s="178">
        <v>1079</v>
      </c>
      <c r="J212" s="180">
        <v>49147</v>
      </c>
    </row>
    <row r="213" spans="1:10">
      <c r="A213" s="178">
        <v>956</v>
      </c>
      <c r="B213" s="180">
        <v>41652</v>
      </c>
      <c r="C213" s="179">
        <v>987</v>
      </c>
      <c r="D213" s="180">
        <v>43520</v>
      </c>
      <c r="E213" s="179">
        <v>1018</v>
      </c>
      <c r="F213" s="180">
        <v>45403</v>
      </c>
      <c r="G213" s="179">
        <v>1049</v>
      </c>
      <c r="H213" s="180">
        <v>47299</v>
      </c>
      <c r="I213" s="178">
        <v>1080</v>
      </c>
      <c r="J213" s="180">
        <v>49208</v>
      </c>
    </row>
    <row r="214" spans="1:10">
      <c r="A214" s="178">
        <v>957</v>
      </c>
      <c r="B214" s="180">
        <v>41712</v>
      </c>
      <c r="C214" s="179">
        <v>988</v>
      </c>
      <c r="D214" s="180">
        <v>43580</v>
      </c>
      <c r="E214" s="179">
        <v>1019</v>
      </c>
      <c r="F214" s="180">
        <v>45464</v>
      </c>
      <c r="G214" s="179">
        <v>1050</v>
      </c>
      <c r="H214" s="180">
        <v>47360</v>
      </c>
      <c r="I214" s="178">
        <v>1081</v>
      </c>
      <c r="J214" s="180">
        <v>49270</v>
      </c>
    </row>
    <row r="215" spans="1:10">
      <c r="A215" s="178">
        <v>958</v>
      </c>
      <c r="B215" s="180">
        <v>41772</v>
      </c>
      <c r="C215" s="179">
        <v>989</v>
      </c>
      <c r="D215" s="180">
        <v>43641</v>
      </c>
      <c r="E215" s="179">
        <v>1020</v>
      </c>
      <c r="F215" s="180">
        <v>45525</v>
      </c>
      <c r="G215" s="179">
        <v>1051</v>
      </c>
      <c r="H215" s="180">
        <v>47422</v>
      </c>
      <c r="I215" s="178">
        <v>1082</v>
      </c>
      <c r="J215" s="180">
        <v>49332</v>
      </c>
    </row>
    <row r="216" spans="1:10">
      <c r="A216" s="178">
        <v>959</v>
      </c>
      <c r="B216" s="180">
        <v>41832</v>
      </c>
      <c r="C216" s="179">
        <v>990</v>
      </c>
      <c r="D216" s="180">
        <v>43702</v>
      </c>
      <c r="E216" s="179">
        <v>1021</v>
      </c>
      <c r="F216" s="180">
        <v>45586</v>
      </c>
      <c r="G216" s="179">
        <v>1052</v>
      </c>
      <c r="H216" s="180">
        <v>47483</v>
      </c>
      <c r="I216" s="178">
        <v>1083</v>
      </c>
      <c r="J216" s="180">
        <v>49394</v>
      </c>
    </row>
    <row r="217" spans="1:10">
      <c r="A217" s="178">
        <v>960</v>
      </c>
      <c r="B217" s="180">
        <v>41892</v>
      </c>
      <c r="C217" s="179">
        <v>991</v>
      </c>
      <c r="D217" s="180">
        <v>43762</v>
      </c>
      <c r="E217" s="179">
        <v>1022</v>
      </c>
      <c r="F217" s="180">
        <v>45647</v>
      </c>
      <c r="G217" s="179">
        <v>1053</v>
      </c>
      <c r="H217" s="180">
        <v>47545</v>
      </c>
      <c r="I217" s="178">
        <v>1084</v>
      </c>
      <c r="J217" s="180">
        <v>49456</v>
      </c>
    </row>
    <row r="218" spans="1:10">
      <c r="A218" s="178">
        <v>1085</v>
      </c>
      <c r="B218" s="180">
        <v>49517</v>
      </c>
      <c r="C218" s="179">
        <v>1116</v>
      </c>
      <c r="D218" s="180">
        <v>51440</v>
      </c>
      <c r="E218" s="179">
        <v>1147</v>
      </c>
      <c r="F218" s="180">
        <v>53374</v>
      </c>
      <c r="G218" s="179">
        <v>1178</v>
      </c>
      <c r="H218" s="180">
        <v>55317</v>
      </c>
      <c r="I218" s="178">
        <v>1209</v>
      </c>
      <c r="J218" s="180">
        <v>57270</v>
      </c>
    </row>
    <row r="219" spans="1:10">
      <c r="A219" s="178">
        <v>1086</v>
      </c>
      <c r="B219" s="180">
        <v>49579</v>
      </c>
      <c r="C219" s="179">
        <v>1117</v>
      </c>
      <c r="D219" s="180">
        <v>51503</v>
      </c>
      <c r="E219" s="179">
        <v>1148</v>
      </c>
      <c r="F219" s="180">
        <v>53437</v>
      </c>
      <c r="G219" s="179">
        <v>1179</v>
      </c>
      <c r="H219" s="180">
        <v>55380</v>
      </c>
      <c r="I219" s="178">
        <v>1210</v>
      </c>
      <c r="J219" s="180">
        <v>57333</v>
      </c>
    </row>
    <row r="220" spans="1:10">
      <c r="A220" s="178">
        <v>1087</v>
      </c>
      <c r="B220" s="180">
        <v>49641</v>
      </c>
      <c r="C220" s="179">
        <v>1118</v>
      </c>
      <c r="D220" s="180">
        <v>51565</v>
      </c>
      <c r="E220" s="179">
        <v>1149</v>
      </c>
      <c r="F220" s="180">
        <v>53499</v>
      </c>
      <c r="G220" s="179">
        <v>1180</v>
      </c>
      <c r="H220" s="180">
        <v>55443</v>
      </c>
      <c r="I220" s="178">
        <v>1211</v>
      </c>
      <c r="J220" s="180">
        <v>57396</v>
      </c>
    </row>
    <row r="221" spans="1:10">
      <c r="A221" s="178">
        <v>1088</v>
      </c>
      <c r="B221" s="180">
        <v>49703</v>
      </c>
      <c r="C221" s="179">
        <v>1119</v>
      </c>
      <c r="D221" s="180">
        <v>51627</v>
      </c>
      <c r="E221" s="179">
        <v>1150</v>
      </c>
      <c r="F221" s="180">
        <v>53562</v>
      </c>
      <c r="G221" s="179">
        <v>1181</v>
      </c>
      <c r="H221" s="180">
        <v>55506</v>
      </c>
      <c r="I221" s="178">
        <v>1212</v>
      </c>
      <c r="J221" s="180">
        <v>57459</v>
      </c>
    </row>
    <row r="222" spans="1:10">
      <c r="A222" s="178">
        <v>1089</v>
      </c>
      <c r="B222" s="180">
        <v>49765</v>
      </c>
      <c r="C222" s="179">
        <v>1120</v>
      </c>
      <c r="D222" s="180">
        <v>51689</v>
      </c>
      <c r="E222" s="179">
        <v>1151</v>
      </c>
      <c r="F222" s="180">
        <v>53624</v>
      </c>
      <c r="G222" s="179">
        <v>1182</v>
      </c>
      <c r="H222" s="180">
        <v>55569</v>
      </c>
      <c r="I222" s="178">
        <v>1213</v>
      </c>
      <c r="J222" s="180">
        <v>57522</v>
      </c>
    </row>
    <row r="223" spans="1:10">
      <c r="A223" s="178">
        <v>1090</v>
      </c>
      <c r="B223" s="180">
        <v>49827</v>
      </c>
      <c r="C223" s="179">
        <v>1121</v>
      </c>
      <c r="D223" s="180">
        <v>51752</v>
      </c>
      <c r="E223" s="179">
        <v>1152</v>
      </c>
      <c r="F223" s="180">
        <v>53687</v>
      </c>
      <c r="G223" s="179">
        <v>1183</v>
      </c>
      <c r="H223" s="180">
        <v>55632</v>
      </c>
      <c r="I223" s="178">
        <v>1214</v>
      </c>
      <c r="J223" s="180">
        <v>57585</v>
      </c>
    </row>
    <row r="224" spans="1:10">
      <c r="A224" s="178">
        <v>1091</v>
      </c>
      <c r="B224" s="180">
        <v>49889</v>
      </c>
      <c r="C224" s="179">
        <v>1122</v>
      </c>
      <c r="D224" s="180">
        <v>51814</v>
      </c>
      <c r="E224" s="179">
        <v>1153</v>
      </c>
      <c r="F224" s="180">
        <v>53749</v>
      </c>
      <c r="G224" s="179">
        <v>1184</v>
      </c>
      <c r="H224" s="180">
        <v>55695</v>
      </c>
      <c r="I224" s="178">
        <v>1215</v>
      </c>
      <c r="J224" s="180">
        <v>57648</v>
      </c>
    </row>
    <row r="225" spans="1:10">
      <c r="A225" s="178">
        <v>1092</v>
      </c>
      <c r="B225" s="180">
        <v>49951</v>
      </c>
      <c r="C225" s="179">
        <v>1123</v>
      </c>
      <c r="D225" s="180">
        <v>51876</v>
      </c>
      <c r="E225" s="179">
        <v>1154</v>
      </c>
      <c r="F225" s="180">
        <v>53812</v>
      </c>
      <c r="G225" s="179">
        <v>1185</v>
      </c>
      <c r="H225" s="180">
        <v>55757</v>
      </c>
      <c r="I225" s="178">
        <v>1216</v>
      </c>
      <c r="J225" s="180">
        <v>57711</v>
      </c>
    </row>
    <row r="226" spans="1:10">
      <c r="A226" s="178">
        <v>1093</v>
      </c>
      <c r="B226" s="180">
        <v>50013</v>
      </c>
      <c r="C226" s="179">
        <v>1124</v>
      </c>
      <c r="D226" s="180">
        <v>51938</v>
      </c>
      <c r="E226" s="179">
        <v>1155</v>
      </c>
      <c r="F226" s="180">
        <v>53875</v>
      </c>
      <c r="G226" s="179">
        <v>1186</v>
      </c>
      <c r="H226" s="180">
        <v>55820</v>
      </c>
      <c r="I226" s="178">
        <v>1217</v>
      </c>
      <c r="J226" s="180">
        <v>57775</v>
      </c>
    </row>
    <row r="227" spans="1:10">
      <c r="A227" s="178">
        <v>1094</v>
      </c>
      <c r="B227" s="180">
        <v>50075</v>
      </c>
      <c r="C227" s="179">
        <v>1125</v>
      </c>
      <c r="D227" s="180">
        <v>52001</v>
      </c>
      <c r="E227" s="179">
        <v>1156</v>
      </c>
      <c r="F227" s="180">
        <v>53937</v>
      </c>
      <c r="G227" s="179">
        <v>1187</v>
      </c>
      <c r="H227" s="180">
        <v>55883</v>
      </c>
      <c r="I227" s="178">
        <v>1218</v>
      </c>
      <c r="J227" s="180">
        <v>57838</v>
      </c>
    </row>
    <row r="228" spans="1:10">
      <c r="A228" s="178">
        <v>1095</v>
      </c>
      <c r="B228" s="180">
        <v>50137</v>
      </c>
      <c r="C228" s="179">
        <v>1126</v>
      </c>
      <c r="D228" s="180">
        <v>52063</v>
      </c>
      <c r="E228" s="179">
        <v>1157</v>
      </c>
      <c r="F228" s="180">
        <v>54000</v>
      </c>
      <c r="G228" s="179">
        <v>1188</v>
      </c>
      <c r="H228" s="180">
        <v>55946</v>
      </c>
      <c r="I228" s="178">
        <v>1219</v>
      </c>
      <c r="J228" s="180">
        <v>57901</v>
      </c>
    </row>
    <row r="229" spans="1:10">
      <c r="A229" s="178">
        <v>1096</v>
      </c>
      <c r="B229" s="180">
        <v>50198</v>
      </c>
      <c r="C229" s="179">
        <v>1127</v>
      </c>
      <c r="D229" s="180">
        <v>52125</v>
      </c>
      <c r="E229" s="179">
        <v>1158</v>
      </c>
      <c r="F229" s="180">
        <v>54062</v>
      </c>
      <c r="G229" s="179">
        <v>1189</v>
      </c>
      <c r="H229" s="180">
        <v>56009</v>
      </c>
      <c r="I229" s="178">
        <v>1220</v>
      </c>
      <c r="J229" s="180">
        <v>57964</v>
      </c>
    </row>
    <row r="230" spans="1:10">
      <c r="A230" s="178">
        <v>1097</v>
      </c>
      <c r="B230" s="180">
        <v>50260</v>
      </c>
      <c r="C230" s="179">
        <v>1128</v>
      </c>
      <c r="D230" s="180">
        <v>52188</v>
      </c>
      <c r="E230" s="179">
        <v>1159</v>
      </c>
      <c r="F230" s="180">
        <v>54125</v>
      </c>
      <c r="G230" s="179">
        <v>1190</v>
      </c>
      <c r="H230" s="180">
        <v>56072</v>
      </c>
      <c r="I230" s="178">
        <v>1221</v>
      </c>
      <c r="J230" s="180">
        <v>58027</v>
      </c>
    </row>
    <row r="231" spans="1:10">
      <c r="A231" s="178">
        <v>1098</v>
      </c>
      <c r="B231" s="180">
        <v>50322</v>
      </c>
      <c r="C231" s="179">
        <v>1129</v>
      </c>
      <c r="D231" s="180">
        <v>52250</v>
      </c>
      <c r="E231" s="179">
        <v>1160</v>
      </c>
      <c r="F231" s="180">
        <v>54188</v>
      </c>
      <c r="G231" s="179">
        <v>1191</v>
      </c>
      <c r="H231" s="180">
        <v>56135</v>
      </c>
      <c r="I231" s="178">
        <v>1222</v>
      </c>
      <c r="J231" s="180">
        <v>58092</v>
      </c>
    </row>
    <row r="232" spans="1:10">
      <c r="A232" s="178">
        <v>1099</v>
      </c>
      <c r="B232" s="180">
        <v>50384</v>
      </c>
      <c r="C232" s="179">
        <v>1130</v>
      </c>
      <c r="D232" s="180">
        <v>52312</v>
      </c>
      <c r="E232" s="179">
        <v>1161</v>
      </c>
      <c r="F232" s="180">
        <v>54250</v>
      </c>
      <c r="G232" s="179">
        <v>1192</v>
      </c>
      <c r="H232" s="180">
        <v>56198</v>
      </c>
      <c r="I232" s="178">
        <v>1223</v>
      </c>
      <c r="J232" s="180">
        <v>58154</v>
      </c>
    </row>
    <row r="233" spans="1:10">
      <c r="A233" s="178">
        <v>1100</v>
      </c>
      <c r="B233" s="180">
        <v>50447</v>
      </c>
      <c r="C233" s="179">
        <v>1131</v>
      </c>
      <c r="D233" s="180">
        <v>52375</v>
      </c>
      <c r="E233" s="179">
        <v>1162</v>
      </c>
      <c r="F233" s="180">
        <v>54313</v>
      </c>
      <c r="G233" s="179">
        <v>1193</v>
      </c>
      <c r="H233" s="180">
        <v>56261</v>
      </c>
      <c r="I233" s="178">
        <v>1224</v>
      </c>
      <c r="J233" s="180">
        <v>58217</v>
      </c>
    </row>
    <row r="234" spans="1:10">
      <c r="A234" s="178">
        <v>1101</v>
      </c>
      <c r="B234" s="180">
        <v>50509</v>
      </c>
      <c r="C234" s="179">
        <v>1132</v>
      </c>
      <c r="D234" s="180">
        <v>52437</v>
      </c>
      <c r="E234" s="179">
        <v>1163</v>
      </c>
      <c r="F234" s="180">
        <v>54376</v>
      </c>
      <c r="G234" s="179">
        <v>1194</v>
      </c>
      <c r="H234" s="180">
        <v>56324</v>
      </c>
      <c r="I234" s="178">
        <v>1225</v>
      </c>
      <c r="J234" s="180">
        <v>58280</v>
      </c>
    </row>
    <row r="235" spans="1:10">
      <c r="A235" s="178">
        <v>1102</v>
      </c>
      <c r="B235" s="180">
        <v>50571</v>
      </c>
      <c r="C235" s="179">
        <v>1133</v>
      </c>
      <c r="D235" s="180">
        <v>52499</v>
      </c>
      <c r="E235" s="179">
        <v>1164</v>
      </c>
      <c r="F235" s="180">
        <v>54439</v>
      </c>
      <c r="G235" s="179">
        <v>1195</v>
      </c>
      <c r="H235" s="180">
        <v>56387</v>
      </c>
      <c r="I235" s="178">
        <v>1226</v>
      </c>
      <c r="J235" s="180">
        <v>58343</v>
      </c>
    </row>
    <row r="236" spans="1:10">
      <c r="A236" s="178">
        <v>1103</v>
      </c>
      <c r="B236" s="180">
        <v>50633</v>
      </c>
      <c r="C236" s="179">
        <v>1134</v>
      </c>
      <c r="D236" s="180">
        <v>52562</v>
      </c>
      <c r="E236" s="179">
        <v>1165</v>
      </c>
      <c r="F236" s="180">
        <v>54501</v>
      </c>
      <c r="G236" s="179">
        <v>1196</v>
      </c>
      <c r="H236" s="180">
        <v>56450</v>
      </c>
      <c r="I236" s="178">
        <v>1227</v>
      </c>
      <c r="J236" s="180">
        <v>58407</v>
      </c>
    </row>
    <row r="237" spans="1:10">
      <c r="A237" s="178">
        <v>1104</v>
      </c>
      <c r="B237" s="180">
        <v>50695</v>
      </c>
      <c r="C237" s="179">
        <v>1135</v>
      </c>
      <c r="D237" s="180">
        <v>52624</v>
      </c>
      <c r="E237" s="179">
        <v>1166</v>
      </c>
      <c r="F237" s="180">
        <v>54564</v>
      </c>
      <c r="G237" s="179">
        <v>1197</v>
      </c>
      <c r="H237" s="180">
        <v>56513</v>
      </c>
      <c r="I237" s="178">
        <v>1228</v>
      </c>
      <c r="J237" s="180">
        <v>58470</v>
      </c>
    </row>
    <row r="238" spans="1:10">
      <c r="A238" s="178">
        <v>1105</v>
      </c>
      <c r="B238" s="180">
        <v>50757</v>
      </c>
      <c r="C238" s="179">
        <v>1136</v>
      </c>
      <c r="D238" s="180">
        <v>52687</v>
      </c>
      <c r="E238" s="179">
        <v>1167</v>
      </c>
      <c r="F238" s="180">
        <v>54627</v>
      </c>
      <c r="G238" s="179">
        <v>1198</v>
      </c>
      <c r="H238" s="180">
        <v>56576</v>
      </c>
      <c r="I238" s="178">
        <v>1229</v>
      </c>
      <c r="J238" s="180">
        <v>58533</v>
      </c>
    </row>
    <row r="239" spans="1:10">
      <c r="A239" s="178">
        <v>1106</v>
      </c>
      <c r="B239" s="180">
        <v>50819</v>
      </c>
      <c r="C239" s="179">
        <v>1137</v>
      </c>
      <c r="D239" s="180">
        <v>52749</v>
      </c>
      <c r="E239" s="179">
        <v>1168</v>
      </c>
      <c r="F239" s="180">
        <v>54689</v>
      </c>
      <c r="G239" s="179">
        <v>1199</v>
      </c>
      <c r="H239" s="180">
        <v>56639</v>
      </c>
      <c r="I239" s="178">
        <v>1230</v>
      </c>
      <c r="J239" s="180">
        <v>58596</v>
      </c>
    </row>
    <row r="240" spans="1:10">
      <c r="A240" s="178">
        <v>1107</v>
      </c>
      <c r="B240" s="180">
        <v>50881</v>
      </c>
      <c r="C240" s="179">
        <v>1138</v>
      </c>
      <c r="D240" s="180">
        <v>52812</v>
      </c>
      <c r="E240" s="179">
        <v>1169</v>
      </c>
      <c r="F240" s="180">
        <v>54752</v>
      </c>
      <c r="G240" s="179">
        <v>1200</v>
      </c>
      <c r="H240" s="180">
        <v>56702</v>
      </c>
      <c r="I240" s="178">
        <v>1231</v>
      </c>
      <c r="J240" s="180">
        <v>58660</v>
      </c>
    </row>
    <row r="241" spans="1:10">
      <c r="A241" s="178">
        <v>1108</v>
      </c>
      <c r="B241" s="180">
        <v>50943</v>
      </c>
      <c r="C241" s="179">
        <v>1139</v>
      </c>
      <c r="D241" s="180">
        <v>52874</v>
      </c>
      <c r="E241" s="179">
        <v>1170</v>
      </c>
      <c r="F241" s="180">
        <v>54815</v>
      </c>
      <c r="G241" s="179">
        <v>1201</v>
      </c>
      <c r="H241" s="180">
        <v>56765</v>
      </c>
      <c r="I241" s="178">
        <v>1232</v>
      </c>
      <c r="J241" s="180">
        <v>58723</v>
      </c>
    </row>
    <row r="242" spans="1:10">
      <c r="A242" s="178">
        <v>1109</v>
      </c>
      <c r="B242" s="180">
        <v>51005</v>
      </c>
      <c r="C242" s="179">
        <v>1140</v>
      </c>
      <c r="D242" s="180">
        <v>52936</v>
      </c>
      <c r="E242" s="179">
        <v>1171</v>
      </c>
      <c r="F242" s="180">
        <v>54878</v>
      </c>
      <c r="G242" s="179">
        <v>1202</v>
      </c>
      <c r="H242" s="180">
        <v>56828</v>
      </c>
      <c r="I242" s="178">
        <v>1233</v>
      </c>
      <c r="J242" s="180">
        <v>58786</v>
      </c>
    </row>
    <row r="243" spans="1:10">
      <c r="A243" s="178">
        <v>1110</v>
      </c>
      <c r="B243" s="180">
        <v>51067</v>
      </c>
      <c r="C243" s="179">
        <v>1141</v>
      </c>
      <c r="D243" s="180">
        <v>52999</v>
      </c>
      <c r="E243" s="179">
        <v>1172</v>
      </c>
      <c r="F243" s="180">
        <v>54940</v>
      </c>
      <c r="G243" s="179">
        <v>1203</v>
      </c>
      <c r="H243" s="180">
        <v>56891</v>
      </c>
      <c r="I243" s="178">
        <v>1234</v>
      </c>
      <c r="J243" s="180">
        <v>58850</v>
      </c>
    </row>
    <row r="244" spans="1:10">
      <c r="A244" s="178">
        <v>1111</v>
      </c>
      <c r="B244" s="180">
        <v>51129</v>
      </c>
      <c r="C244" s="179">
        <v>1142</v>
      </c>
      <c r="D244" s="180">
        <v>53061</v>
      </c>
      <c r="E244" s="179">
        <v>1173</v>
      </c>
      <c r="F244" s="180">
        <v>55003</v>
      </c>
      <c r="G244" s="179">
        <v>1204</v>
      </c>
      <c r="H244" s="180">
        <v>56954</v>
      </c>
      <c r="I244" s="178">
        <v>1235</v>
      </c>
      <c r="J244" s="180">
        <v>58913</v>
      </c>
    </row>
    <row r="245" spans="1:10">
      <c r="A245" s="178">
        <v>1112</v>
      </c>
      <c r="B245" s="180">
        <v>51192</v>
      </c>
      <c r="C245" s="179">
        <v>1143</v>
      </c>
      <c r="D245" s="180">
        <v>53124</v>
      </c>
      <c r="E245" s="179">
        <v>1174</v>
      </c>
      <c r="F245" s="180">
        <v>55066</v>
      </c>
      <c r="G245" s="179">
        <v>1205</v>
      </c>
      <c r="H245" s="180">
        <v>57017</v>
      </c>
      <c r="I245" s="178">
        <v>1236</v>
      </c>
      <c r="J245" s="180">
        <v>58976</v>
      </c>
    </row>
    <row r="246" spans="1:10">
      <c r="A246" s="178">
        <v>1113</v>
      </c>
      <c r="B246" s="180">
        <v>51254</v>
      </c>
      <c r="C246" s="179">
        <v>1144</v>
      </c>
      <c r="D246" s="180">
        <v>53186</v>
      </c>
      <c r="E246" s="179">
        <v>1175</v>
      </c>
      <c r="F246" s="180">
        <v>55129</v>
      </c>
      <c r="G246" s="179">
        <v>1206</v>
      </c>
      <c r="H246" s="180">
        <v>57080</v>
      </c>
      <c r="I246" s="178">
        <v>1237</v>
      </c>
      <c r="J246" s="180">
        <v>59040</v>
      </c>
    </row>
    <row r="247" spans="1:10">
      <c r="A247" s="178">
        <v>1114</v>
      </c>
      <c r="B247" s="180">
        <v>51316</v>
      </c>
      <c r="C247" s="179">
        <v>1145</v>
      </c>
      <c r="D247" s="180">
        <v>53249</v>
      </c>
      <c r="E247" s="179">
        <v>1176</v>
      </c>
      <c r="F247" s="180">
        <v>55192</v>
      </c>
      <c r="G247" s="179">
        <v>1207</v>
      </c>
      <c r="H247" s="180">
        <v>57143</v>
      </c>
      <c r="I247" s="178">
        <v>1238</v>
      </c>
      <c r="J247" s="180">
        <v>59103</v>
      </c>
    </row>
    <row r="248" spans="1:10">
      <c r="A248" s="178">
        <v>1115</v>
      </c>
      <c r="B248" s="180">
        <v>51378</v>
      </c>
      <c r="C248" s="179">
        <v>1146</v>
      </c>
      <c r="D248" s="180">
        <v>53311</v>
      </c>
      <c r="E248" s="179">
        <v>1177</v>
      </c>
      <c r="F248" s="180">
        <v>55254</v>
      </c>
      <c r="G248" s="179">
        <v>1208</v>
      </c>
      <c r="H248" s="180">
        <v>57206</v>
      </c>
      <c r="I248" s="178">
        <v>1239</v>
      </c>
      <c r="J248" s="180">
        <v>59166</v>
      </c>
    </row>
    <row r="249" spans="1:10">
      <c r="A249" s="178">
        <v>1240</v>
      </c>
      <c r="B249" s="180">
        <v>59230</v>
      </c>
      <c r="C249" s="179">
        <v>1271</v>
      </c>
      <c r="D249" s="180">
        <v>61197</v>
      </c>
      <c r="E249" s="179">
        <v>1302</v>
      </c>
      <c r="F249" s="180">
        <v>63170</v>
      </c>
      <c r="G249" s="179">
        <v>1333</v>
      </c>
      <c r="H249" s="180">
        <v>65148</v>
      </c>
      <c r="I249" s="178">
        <v>1364</v>
      </c>
      <c r="J249" s="180">
        <v>67131</v>
      </c>
    </row>
    <row r="250" spans="1:10">
      <c r="A250" s="178">
        <v>1241</v>
      </c>
      <c r="B250" s="180">
        <v>59293</v>
      </c>
      <c r="C250" s="179">
        <v>1272</v>
      </c>
      <c r="D250" s="180">
        <v>61260</v>
      </c>
      <c r="E250" s="179">
        <v>1303</v>
      </c>
      <c r="F250" s="180">
        <v>63234</v>
      </c>
      <c r="G250" s="179">
        <v>1334</v>
      </c>
      <c r="H250" s="180">
        <v>65212</v>
      </c>
      <c r="I250" s="200">
        <v>1365</v>
      </c>
      <c r="J250" s="180">
        <v>67195</v>
      </c>
    </row>
    <row r="251" spans="1:10">
      <c r="A251" s="178">
        <v>1242</v>
      </c>
      <c r="B251" s="180">
        <v>59356</v>
      </c>
      <c r="C251" s="179">
        <v>1273</v>
      </c>
      <c r="D251" s="180">
        <v>61324</v>
      </c>
      <c r="E251" s="179">
        <v>1304</v>
      </c>
      <c r="F251" s="180">
        <v>63297</v>
      </c>
      <c r="G251" s="179">
        <v>1335</v>
      </c>
      <c r="H251" s="180">
        <v>65276</v>
      </c>
      <c r="I251" s="178">
        <v>1366</v>
      </c>
      <c r="J251" s="180">
        <v>67259</v>
      </c>
    </row>
    <row r="252" spans="1:10">
      <c r="A252" s="178">
        <v>1243</v>
      </c>
      <c r="B252" s="180">
        <v>59420</v>
      </c>
      <c r="C252" s="179">
        <v>1274</v>
      </c>
      <c r="D252" s="180">
        <v>61387</v>
      </c>
      <c r="E252" s="179">
        <v>1305</v>
      </c>
      <c r="F252" s="180">
        <v>63361</v>
      </c>
      <c r="G252" s="179">
        <v>1336</v>
      </c>
      <c r="H252" s="180">
        <v>65340</v>
      </c>
      <c r="I252" s="178">
        <v>1367</v>
      </c>
      <c r="J252" s="180">
        <v>67323</v>
      </c>
    </row>
    <row r="253" spans="1:10">
      <c r="A253" s="178">
        <v>1244</v>
      </c>
      <c r="B253" s="180">
        <v>59483</v>
      </c>
      <c r="C253" s="179">
        <v>1275</v>
      </c>
      <c r="D253" s="180">
        <v>61451</v>
      </c>
      <c r="E253" s="179">
        <v>1306</v>
      </c>
      <c r="F253" s="180">
        <v>63425</v>
      </c>
      <c r="G253" s="179">
        <v>1337</v>
      </c>
      <c r="H253" s="180">
        <v>65404</v>
      </c>
      <c r="I253" s="178">
        <v>1368</v>
      </c>
      <c r="J253" s="180">
        <v>67387</v>
      </c>
    </row>
    <row r="254" spans="1:10">
      <c r="A254" s="178">
        <v>1245</v>
      </c>
      <c r="B254" s="180">
        <v>59546</v>
      </c>
      <c r="C254" s="179">
        <v>1276</v>
      </c>
      <c r="D254" s="180">
        <v>61515</v>
      </c>
      <c r="E254" s="179">
        <v>1307</v>
      </c>
      <c r="F254" s="180">
        <v>63489</v>
      </c>
      <c r="G254" s="179">
        <v>1338</v>
      </c>
      <c r="H254" s="180">
        <v>65468</v>
      </c>
      <c r="I254" s="178">
        <v>1369</v>
      </c>
      <c r="J254" s="180">
        <v>67451</v>
      </c>
    </row>
    <row r="255" spans="1:10">
      <c r="A255" s="178">
        <v>1246</v>
      </c>
      <c r="B255" s="180">
        <v>59610</v>
      </c>
      <c r="C255" s="179">
        <v>1277</v>
      </c>
      <c r="D255" s="180">
        <v>61578</v>
      </c>
      <c r="E255" s="179">
        <v>1308</v>
      </c>
      <c r="F255" s="180">
        <v>63552</v>
      </c>
      <c r="G255" s="179">
        <v>1339</v>
      </c>
      <c r="H255" s="180">
        <v>65532</v>
      </c>
      <c r="I255" s="178">
        <v>1370</v>
      </c>
      <c r="J255" s="180">
        <v>67515</v>
      </c>
    </row>
    <row r="256" spans="1:10">
      <c r="A256" s="178">
        <v>1247</v>
      </c>
      <c r="B256" s="180">
        <v>59673</v>
      </c>
      <c r="C256" s="179">
        <v>1278</v>
      </c>
      <c r="D256" s="180">
        <v>61642</v>
      </c>
      <c r="E256" s="179">
        <v>1309</v>
      </c>
      <c r="F256" s="180">
        <v>63616</v>
      </c>
      <c r="G256" s="179">
        <v>1340</v>
      </c>
      <c r="H256" s="180">
        <v>65596</v>
      </c>
      <c r="I256" s="178">
        <v>1371</v>
      </c>
      <c r="J256" s="180">
        <v>67579</v>
      </c>
    </row>
    <row r="257" spans="1:10">
      <c r="A257" s="178">
        <v>1248</v>
      </c>
      <c r="B257" s="180">
        <v>59737</v>
      </c>
      <c r="C257" s="179">
        <v>1279</v>
      </c>
      <c r="D257" s="180">
        <v>61705</v>
      </c>
      <c r="E257" s="179">
        <v>1310</v>
      </c>
      <c r="F257" s="180">
        <v>63680</v>
      </c>
      <c r="G257" s="179">
        <v>1341</v>
      </c>
      <c r="H257" s="180">
        <v>65659</v>
      </c>
      <c r="I257" s="178">
        <v>1372</v>
      </c>
      <c r="J257" s="180">
        <v>67643</v>
      </c>
    </row>
    <row r="258" spans="1:10">
      <c r="A258" s="178">
        <v>1249</v>
      </c>
      <c r="B258" s="180">
        <v>59800</v>
      </c>
      <c r="C258" s="179">
        <v>1280</v>
      </c>
      <c r="D258" s="180">
        <v>61769</v>
      </c>
      <c r="E258" s="179">
        <v>1311</v>
      </c>
      <c r="F258" s="180">
        <v>63744</v>
      </c>
      <c r="G258" s="179">
        <v>1342</v>
      </c>
      <c r="H258" s="180">
        <v>65723</v>
      </c>
      <c r="I258" s="178">
        <v>1373</v>
      </c>
      <c r="J258" s="180">
        <v>67707</v>
      </c>
    </row>
    <row r="259" spans="1:10">
      <c r="A259" s="178">
        <v>1250</v>
      </c>
      <c r="B259" s="180">
        <v>59863</v>
      </c>
      <c r="C259" s="179">
        <v>1281</v>
      </c>
      <c r="D259" s="180">
        <v>61833</v>
      </c>
      <c r="E259" s="179">
        <v>1312</v>
      </c>
      <c r="F259" s="180">
        <v>63807</v>
      </c>
      <c r="G259" s="179">
        <v>1343</v>
      </c>
      <c r="H259" s="180">
        <v>65787</v>
      </c>
      <c r="I259" s="178">
        <v>1374</v>
      </c>
      <c r="J259" s="180">
        <v>67771</v>
      </c>
    </row>
    <row r="260" spans="1:10">
      <c r="A260" s="178">
        <v>1251</v>
      </c>
      <c r="B260" s="180">
        <v>59927</v>
      </c>
      <c r="C260" s="179">
        <v>1282</v>
      </c>
      <c r="D260" s="180">
        <v>61896</v>
      </c>
      <c r="E260" s="179">
        <v>1313</v>
      </c>
      <c r="F260" s="180">
        <v>63871</v>
      </c>
      <c r="G260" s="179">
        <v>1344</v>
      </c>
      <c r="H260" s="180">
        <v>65851</v>
      </c>
      <c r="I260" s="178">
        <v>1375</v>
      </c>
      <c r="J260" s="180">
        <v>67835</v>
      </c>
    </row>
    <row r="261" spans="1:10">
      <c r="A261" s="178">
        <v>1252</v>
      </c>
      <c r="B261" s="180">
        <v>59990</v>
      </c>
      <c r="C261" s="179">
        <v>1283</v>
      </c>
      <c r="D261" s="180">
        <v>61960</v>
      </c>
      <c r="E261" s="179">
        <v>1314</v>
      </c>
      <c r="F261" s="180">
        <v>63935</v>
      </c>
      <c r="G261" s="179">
        <v>1345</v>
      </c>
      <c r="H261" s="180">
        <v>65915</v>
      </c>
      <c r="I261" s="178">
        <v>1376</v>
      </c>
      <c r="J261" s="180">
        <v>67899</v>
      </c>
    </row>
    <row r="262" spans="1:10">
      <c r="A262" s="178">
        <v>1253</v>
      </c>
      <c r="B262" s="180">
        <v>60054</v>
      </c>
      <c r="C262" s="179">
        <v>1284</v>
      </c>
      <c r="D262" s="180">
        <v>62023</v>
      </c>
      <c r="E262" s="179">
        <v>1315</v>
      </c>
      <c r="F262" s="180">
        <v>63999</v>
      </c>
      <c r="G262" s="179">
        <v>1346</v>
      </c>
      <c r="H262" s="180">
        <v>65979</v>
      </c>
      <c r="I262" s="178">
        <v>1377</v>
      </c>
      <c r="J262" s="180">
        <v>67963</v>
      </c>
    </row>
    <row r="263" spans="1:10">
      <c r="A263" s="178">
        <v>1254</v>
      </c>
      <c r="B263" s="180">
        <v>60117</v>
      </c>
      <c r="C263" s="179">
        <v>1285</v>
      </c>
      <c r="D263" s="180">
        <v>62087</v>
      </c>
      <c r="E263" s="179">
        <v>1316</v>
      </c>
      <c r="F263" s="180">
        <v>64063</v>
      </c>
      <c r="G263" s="179">
        <v>1347</v>
      </c>
      <c r="H263" s="180">
        <v>66043</v>
      </c>
      <c r="I263" s="178">
        <v>1378</v>
      </c>
      <c r="J263" s="180">
        <v>68027</v>
      </c>
    </row>
    <row r="264" spans="1:10">
      <c r="A264" s="178">
        <v>1255</v>
      </c>
      <c r="B264" s="180">
        <v>60181</v>
      </c>
      <c r="C264" s="179">
        <v>1286</v>
      </c>
      <c r="D264" s="180">
        <v>62151</v>
      </c>
      <c r="E264" s="179">
        <v>1317</v>
      </c>
      <c r="F264" s="180">
        <v>64127</v>
      </c>
      <c r="G264" s="179">
        <v>1348</v>
      </c>
      <c r="H264" s="180">
        <v>66107</v>
      </c>
      <c r="I264" s="178">
        <v>1379</v>
      </c>
      <c r="J264" s="180">
        <v>68092</v>
      </c>
    </row>
    <row r="265" spans="1:10">
      <c r="A265" s="178">
        <v>1256</v>
      </c>
      <c r="B265" s="180">
        <v>60244</v>
      </c>
      <c r="C265" s="179">
        <v>1287</v>
      </c>
      <c r="D265" s="180">
        <v>62214</v>
      </c>
      <c r="E265" s="179">
        <v>1318</v>
      </c>
      <c r="F265" s="180">
        <v>64190</v>
      </c>
      <c r="G265" s="179">
        <v>1349</v>
      </c>
      <c r="H265" s="180">
        <v>66171</v>
      </c>
      <c r="I265" s="178">
        <v>1380</v>
      </c>
      <c r="J265" s="180">
        <v>68156</v>
      </c>
    </row>
    <row r="266" spans="1:10">
      <c r="A266" s="178">
        <v>1257</v>
      </c>
      <c r="B266" s="180">
        <v>60307</v>
      </c>
      <c r="C266" s="179">
        <v>1288</v>
      </c>
      <c r="D266" s="180">
        <v>62278</v>
      </c>
      <c r="E266" s="179">
        <v>1319</v>
      </c>
      <c r="F266" s="180">
        <v>64254</v>
      </c>
      <c r="G266" s="179">
        <v>1350</v>
      </c>
      <c r="H266" s="180">
        <v>66235</v>
      </c>
      <c r="I266" s="178">
        <v>1381</v>
      </c>
      <c r="J266" s="180">
        <v>68220</v>
      </c>
    </row>
    <row r="267" spans="1:10">
      <c r="A267" s="178">
        <v>1258</v>
      </c>
      <c r="B267" s="180">
        <v>60371</v>
      </c>
      <c r="C267" s="179">
        <v>1289</v>
      </c>
      <c r="D267" s="180">
        <v>62342</v>
      </c>
      <c r="E267" s="179">
        <v>1320</v>
      </c>
      <c r="F267" s="180">
        <v>64318</v>
      </c>
      <c r="G267" s="179">
        <v>1351</v>
      </c>
      <c r="H267" s="180">
        <v>66299</v>
      </c>
      <c r="I267" s="178">
        <v>1382</v>
      </c>
      <c r="J267" s="180">
        <v>68284</v>
      </c>
    </row>
    <row r="268" spans="1:10">
      <c r="A268" s="178">
        <v>1259</v>
      </c>
      <c r="B268" s="180">
        <v>60434</v>
      </c>
      <c r="C268" s="179">
        <v>1290</v>
      </c>
      <c r="D268" s="180">
        <v>62405</v>
      </c>
      <c r="E268" s="179">
        <v>1321</v>
      </c>
      <c r="F268" s="180">
        <v>64382</v>
      </c>
      <c r="G268" s="179">
        <v>1352</v>
      </c>
      <c r="H268" s="180">
        <v>66363</v>
      </c>
      <c r="I268" s="178">
        <v>1383</v>
      </c>
      <c r="J268" s="180">
        <v>68348</v>
      </c>
    </row>
    <row r="269" spans="1:10">
      <c r="A269" s="178">
        <v>1260</v>
      </c>
      <c r="B269" s="180">
        <v>60498</v>
      </c>
      <c r="C269" s="179">
        <v>1291</v>
      </c>
      <c r="D269" s="180">
        <v>62469</v>
      </c>
      <c r="E269" s="179">
        <v>1322</v>
      </c>
      <c r="F269" s="180">
        <v>64446</v>
      </c>
      <c r="G269" s="200">
        <v>1353</v>
      </c>
      <c r="H269" s="180">
        <v>66427</v>
      </c>
      <c r="I269" s="178">
        <v>1384</v>
      </c>
      <c r="J269" s="180">
        <v>68412</v>
      </c>
    </row>
    <row r="270" spans="1:10">
      <c r="A270" s="178">
        <v>1261</v>
      </c>
      <c r="B270" s="180">
        <v>60561</v>
      </c>
      <c r="C270" s="179">
        <v>1292</v>
      </c>
      <c r="D270" s="180">
        <v>62533</v>
      </c>
      <c r="E270" s="179">
        <v>1323</v>
      </c>
      <c r="F270" s="180">
        <v>64509</v>
      </c>
      <c r="G270" s="179">
        <v>1354</v>
      </c>
      <c r="H270" s="180">
        <v>66491</v>
      </c>
      <c r="I270" s="178">
        <v>1385</v>
      </c>
      <c r="J270" s="180">
        <v>68476</v>
      </c>
    </row>
    <row r="271" spans="1:10">
      <c r="A271" s="178">
        <v>1262</v>
      </c>
      <c r="B271" s="180">
        <v>60625</v>
      </c>
      <c r="C271" s="179">
        <v>1293</v>
      </c>
      <c r="D271" s="180">
        <v>62596</v>
      </c>
      <c r="E271" s="179">
        <v>1324</v>
      </c>
      <c r="F271" s="180">
        <v>64573</v>
      </c>
      <c r="G271" s="179">
        <v>1355</v>
      </c>
      <c r="H271" s="180">
        <v>66555</v>
      </c>
      <c r="I271" s="178">
        <v>1386</v>
      </c>
      <c r="J271" s="180">
        <v>68540</v>
      </c>
    </row>
    <row r="272" spans="1:10">
      <c r="A272" s="178">
        <v>1263</v>
      </c>
      <c r="B272" s="180">
        <v>60688</v>
      </c>
      <c r="C272" s="179">
        <v>1294</v>
      </c>
      <c r="D272" s="180">
        <v>62660</v>
      </c>
      <c r="E272" s="179">
        <v>1325</v>
      </c>
      <c r="F272" s="180">
        <v>64637</v>
      </c>
      <c r="G272" s="179">
        <v>1356</v>
      </c>
      <c r="H272" s="180">
        <v>66619</v>
      </c>
      <c r="I272" s="178">
        <v>1387</v>
      </c>
      <c r="J272" s="180">
        <v>68604</v>
      </c>
    </row>
    <row r="273" spans="1:10">
      <c r="A273" s="178">
        <v>1264</v>
      </c>
      <c r="B273" s="180">
        <v>60752</v>
      </c>
      <c r="C273" s="179">
        <v>1295</v>
      </c>
      <c r="D273" s="180">
        <v>62724</v>
      </c>
      <c r="E273" s="179">
        <v>1326</v>
      </c>
      <c r="F273" s="180">
        <v>64701</v>
      </c>
      <c r="G273" s="179">
        <v>1357</v>
      </c>
      <c r="H273" s="180">
        <v>66683</v>
      </c>
      <c r="I273" s="178">
        <v>1388</v>
      </c>
      <c r="J273" s="180">
        <v>68668</v>
      </c>
    </row>
    <row r="274" spans="1:10">
      <c r="A274" s="178">
        <v>1265</v>
      </c>
      <c r="B274" s="180">
        <v>60815</v>
      </c>
      <c r="C274" s="179">
        <v>1296</v>
      </c>
      <c r="D274" s="180">
        <v>62787</v>
      </c>
      <c r="E274" s="179">
        <v>1327</v>
      </c>
      <c r="F274" s="180">
        <v>64765</v>
      </c>
      <c r="G274" s="179">
        <v>1358</v>
      </c>
      <c r="H274" s="180">
        <v>66747</v>
      </c>
      <c r="I274" s="178">
        <v>1389</v>
      </c>
      <c r="J274" s="180">
        <v>68732</v>
      </c>
    </row>
    <row r="275" spans="1:10">
      <c r="A275" s="178">
        <v>1266</v>
      </c>
      <c r="B275" s="180">
        <v>60879</v>
      </c>
      <c r="C275" s="179">
        <v>1297</v>
      </c>
      <c r="D275" s="180">
        <v>62851</v>
      </c>
      <c r="E275" s="179">
        <v>1328</v>
      </c>
      <c r="F275" s="180">
        <v>64829</v>
      </c>
      <c r="G275" s="179">
        <v>1359</v>
      </c>
      <c r="H275" s="180">
        <v>66811</v>
      </c>
      <c r="I275" s="178">
        <v>1390</v>
      </c>
      <c r="J275" s="180">
        <v>68796</v>
      </c>
    </row>
    <row r="276" spans="1:10">
      <c r="A276" s="178">
        <v>1267</v>
      </c>
      <c r="B276" s="180">
        <v>60942</v>
      </c>
      <c r="C276" s="179">
        <v>1298</v>
      </c>
      <c r="D276" s="180">
        <v>62915</v>
      </c>
      <c r="E276" s="179">
        <v>1329</v>
      </c>
      <c r="F276" s="180">
        <v>64893</v>
      </c>
      <c r="G276" s="179">
        <v>1360</v>
      </c>
      <c r="H276" s="180">
        <v>66875</v>
      </c>
      <c r="I276" s="200">
        <v>1391</v>
      </c>
      <c r="J276" s="180">
        <v>68861</v>
      </c>
    </row>
    <row r="277" spans="1:10">
      <c r="A277" s="178">
        <v>1268</v>
      </c>
      <c r="B277" s="180">
        <v>61006</v>
      </c>
      <c r="C277" s="179">
        <v>1299</v>
      </c>
      <c r="D277" s="180">
        <v>62979</v>
      </c>
      <c r="E277" s="179">
        <v>1330</v>
      </c>
      <c r="F277" s="180">
        <v>64957</v>
      </c>
      <c r="G277" s="179">
        <v>1361</v>
      </c>
      <c r="H277" s="180">
        <v>66939</v>
      </c>
      <c r="I277" s="178">
        <v>1392</v>
      </c>
      <c r="J277" s="180">
        <v>68925</v>
      </c>
    </row>
    <row r="278" spans="1:10">
      <c r="A278" s="178">
        <v>1269</v>
      </c>
      <c r="B278" s="180">
        <v>61070</v>
      </c>
      <c r="C278" s="179">
        <v>1300</v>
      </c>
      <c r="D278" s="180">
        <v>63042</v>
      </c>
      <c r="E278" s="179">
        <v>1331</v>
      </c>
      <c r="F278" s="180">
        <v>65020</v>
      </c>
      <c r="G278" s="179">
        <v>1362</v>
      </c>
      <c r="H278" s="180">
        <v>67003</v>
      </c>
      <c r="I278" s="178">
        <v>1393</v>
      </c>
      <c r="J278" s="180">
        <v>68989</v>
      </c>
    </row>
    <row r="279" spans="1:10">
      <c r="A279" s="178">
        <v>1270</v>
      </c>
      <c r="B279" s="180">
        <v>61133</v>
      </c>
      <c r="C279" s="179">
        <v>1301</v>
      </c>
      <c r="D279" s="180">
        <v>63106</v>
      </c>
      <c r="E279" s="179">
        <v>1332</v>
      </c>
      <c r="F279" s="180">
        <v>65084</v>
      </c>
      <c r="G279" s="200">
        <v>1363</v>
      </c>
      <c r="H279" s="180">
        <v>67067</v>
      </c>
      <c r="I279" s="178">
        <v>1394</v>
      </c>
      <c r="J279" s="180">
        <v>69053</v>
      </c>
    </row>
    <row r="280" spans="1:10">
      <c r="A280" s="178">
        <v>1395</v>
      </c>
      <c r="B280" s="180">
        <v>69117</v>
      </c>
      <c r="C280" s="179">
        <v>1426</v>
      </c>
      <c r="D280" s="180">
        <v>71106</v>
      </c>
      <c r="E280" s="179">
        <v>1457</v>
      </c>
      <c r="F280" s="180">
        <v>73096</v>
      </c>
      <c r="G280" s="179">
        <v>1488</v>
      </c>
      <c r="H280" s="180">
        <v>75087</v>
      </c>
      <c r="I280" s="178">
        <v>1519</v>
      </c>
      <c r="J280" s="180">
        <v>77079</v>
      </c>
    </row>
    <row r="281" spans="1:10">
      <c r="A281" s="178">
        <v>1396</v>
      </c>
      <c r="B281" s="180">
        <v>69181</v>
      </c>
      <c r="C281" s="179">
        <v>1427</v>
      </c>
      <c r="D281" s="180">
        <v>71170</v>
      </c>
      <c r="E281" s="179">
        <v>1458</v>
      </c>
      <c r="F281" s="180">
        <v>73160</v>
      </c>
      <c r="G281" s="179">
        <v>1489</v>
      </c>
      <c r="H281" s="180">
        <v>75152</v>
      </c>
      <c r="I281" s="178">
        <v>1520</v>
      </c>
      <c r="J281" s="180">
        <v>77143</v>
      </c>
    </row>
    <row r="282" spans="1:10">
      <c r="A282" s="178">
        <v>1397</v>
      </c>
      <c r="B282" s="180">
        <v>69245</v>
      </c>
      <c r="C282" s="179">
        <v>1428</v>
      </c>
      <c r="D282" s="180">
        <v>71234</v>
      </c>
      <c r="E282" s="179">
        <v>1459</v>
      </c>
      <c r="F282" s="180">
        <v>73225</v>
      </c>
      <c r="G282" s="179">
        <v>1490</v>
      </c>
      <c r="H282" s="180">
        <v>75216</v>
      </c>
      <c r="I282" s="178">
        <v>1521</v>
      </c>
      <c r="J282" s="180">
        <v>77207</v>
      </c>
    </row>
    <row r="283" spans="1:10">
      <c r="A283" s="178">
        <v>1398</v>
      </c>
      <c r="B283" s="180">
        <v>69309</v>
      </c>
      <c r="C283" s="179">
        <v>1429</v>
      </c>
      <c r="D283" s="180">
        <v>71298</v>
      </c>
      <c r="E283" s="179">
        <v>1460</v>
      </c>
      <c r="F283" s="180">
        <v>73289</v>
      </c>
      <c r="G283" s="179">
        <v>1491</v>
      </c>
      <c r="H283" s="180">
        <v>75280</v>
      </c>
      <c r="I283" s="178">
        <v>1522</v>
      </c>
      <c r="J283" s="180">
        <v>77271</v>
      </c>
    </row>
    <row r="284" spans="1:10">
      <c r="A284" s="178">
        <v>1399</v>
      </c>
      <c r="B284" s="180">
        <v>69374</v>
      </c>
      <c r="C284" s="179">
        <v>1430</v>
      </c>
      <c r="D284" s="180">
        <v>71363</v>
      </c>
      <c r="E284" s="179">
        <v>1461</v>
      </c>
      <c r="F284" s="180">
        <v>73353</v>
      </c>
      <c r="G284" s="179">
        <v>1492</v>
      </c>
      <c r="H284" s="180">
        <v>75344</v>
      </c>
      <c r="I284" s="178">
        <v>1523</v>
      </c>
      <c r="J284" s="180">
        <v>77336</v>
      </c>
    </row>
    <row r="285" spans="1:10">
      <c r="A285" s="178">
        <v>1400</v>
      </c>
      <c r="B285" s="180">
        <v>69438</v>
      </c>
      <c r="C285" s="179">
        <v>1431</v>
      </c>
      <c r="D285" s="180">
        <v>71427</v>
      </c>
      <c r="E285" s="179">
        <v>1462</v>
      </c>
      <c r="F285" s="180">
        <v>73417</v>
      </c>
      <c r="G285" s="179">
        <v>1493</v>
      </c>
      <c r="H285" s="180">
        <v>75409</v>
      </c>
      <c r="I285" s="178">
        <v>1524</v>
      </c>
      <c r="J285" s="180">
        <v>77400</v>
      </c>
    </row>
    <row r="286" spans="1:10">
      <c r="A286" s="178">
        <v>1401</v>
      </c>
      <c r="B286" s="180">
        <v>69502</v>
      </c>
      <c r="C286" s="179">
        <v>1432</v>
      </c>
      <c r="D286" s="180">
        <v>71491</v>
      </c>
      <c r="E286" s="179">
        <v>1463</v>
      </c>
      <c r="F286" s="180">
        <v>73482</v>
      </c>
      <c r="G286" s="179">
        <v>1494</v>
      </c>
      <c r="H286" s="180">
        <v>75473</v>
      </c>
      <c r="I286" s="178">
        <v>1525</v>
      </c>
      <c r="J286" s="180">
        <v>77464</v>
      </c>
    </row>
    <row r="287" spans="1:10">
      <c r="A287" s="178">
        <v>1402</v>
      </c>
      <c r="B287" s="180">
        <v>69566</v>
      </c>
      <c r="C287" s="179">
        <v>1433</v>
      </c>
      <c r="D287" s="180">
        <v>71555</v>
      </c>
      <c r="E287" s="179">
        <v>1464</v>
      </c>
      <c r="F287" s="180">
        <v>73546</v>
      </c>
      <c r="G287" s="179">
        <v>1495</v>
      </c>
      <c r="H287" s="180">
        <v>75537</v>
      </c>
      <c r="I287" s="178">
        <v>1526</v>
      </c>
      <c r="J287" s="180">
        <v>77528</v>
      </c>
    </row>
    <row r="288" spans="1:10">
      <c r="A288" s="178">
        <v>1403</v>
      </c>
      <c r="B288" s="180">
        <v>69630</v>
      </c>
      <c r="C288" s="179">
        <v>1434</v>
      </c>
      <c r="D288" s="180">
        <v>71619</v>
      </c>
      <c r="E288" s="179">
        <v>1465</v>
      </c>
      <c r="F288" s="180">
        <v>73610</v>
      </c>
      <c r="G288" s="179">
        <v>1496</v>
      </c>
      <c r="H288" s="180">
        <v>75601</v>
      </c>
      <c r="I288" s="178">
        <v>1527</v>
      </c>
      <c r="J288" s="180">
        <v>77592</v>
      </c>
    </row>
    <row r="289" spans="1:10">
      <c r="A289" s="178">
        <v>1404</v>
      </c>
      <c r="B289" s="180">
        <v>69694</v>
      </c>
      <c r="C289" s="179">
        <v>1435</v>
      </c>
      <c r="D289" s="180">
        <v>71683</v>
      </c>
      <c r="E289" s="179">
        <v>1466</v>
      </c>
      <c r="F289" s="180">
        <v>73674</v>
      </c>
      <c r="G289" s="179">
        <v>1497</v>
      </c>
      <c r="H289" s="180">
        <v>75665</v>
      </c>
      <c r="I289" s="178">
        <v>1528</v>
      </c>
      <c r="J289" s="180">
        <v>77657</v>
      </c>
    </row>
    <row r="290" spans="1:10">
      <c r="A290" s="178">
        <v>1405</v>
      </c>
      <c r="B290" s="180">
        <v>69758</v>
      </c>
      <c r="C290" s="179">
        <v>1436</v>
      </c>
      <c r="D290" s="180">
        <v>71748</v>
      </c>
      <c r="E290" s="179">
        <v>1467</v>
      </c>
      <c r="F290" s="180">
        <v>73738</v>
      </c>
      <c r="G290" s="179">
        <v>1498</v>
      </c>
      <c r="H290" s="180">
        <v>75730</v>
      </c>
      <c r="I290" s="178">
        <v>1529</v>
      </c>
      <c r="J290" s="180">
        <v>77721</v>
      </c>
    </row>
    <row r="291" spans="1:10">
      <c r="A291" s="178">
        <v>1406</v>
      </c>
      <c r="B291" s="180">
        <v>69822</v>
      </c>
      <c r="C291" s="179">
        <v>1437</v>
      </c>
      <c r="D291" s="180">
        <v>71812</v>
      </c>
      <c r="E291" s="179">
        <v>1468</v>
      </c>
      <c r="F291" s="180">
        <v>73803</v>
      </c>
      <c r="G291" s="179">
        <v>1499</v>
      </c>
      <c r="H291" s="180">
        <v>75794</v>
      </c>
      <c r="I291" s="178">
        <v>1530</v>
      </c>
      <c r="J291" s="180">
        <v>77785</v>
      </c>
    </row>
    <row r="292" spans="1:10">
      <c r="A292" s="178">
        <v>1407</v>
      </c>
      <c r="B292" s="180">
        <v>69887</v>
      </c>
      <c r="C292" s="179">
        <v>1438</v>
      </c>
      <c r="D292" s="180">
        <v>71876</v>
      </c>
      <c r="E292" s="199">
        <v>1469</v>
      </c>
      <c r="F292" s="180">
        <v>73867</v>
      </c>
      <c r="G292" s="179">
        <v>1500</v>
      </c>
      <c r="H292" s="180">
        <v>75858</v>
      </c>
      <c r="I292" s="178">
        <v>1531</v>
      </c>
      <c r="J292" s="180">
        <v>77849</v>
      </c>
    </row>
    <row r="293" spans="1:10">
      <c r="A293" s="178">
        <v>1408</v>
      </c>
      <c r="B293" s="180">
        <v>69951</v>
      </c>
      <c r="C293" s="179">
        <v>1439</v>
      </c>
      <c r="D293" s="180">
        <v>71940</v>
      </c>
      <c r="E293" s="179">
        <v>1470</v>
      </c>
      <c r="F293" s="180">
        <v>73931</v>
      </c>
      <c r="G293" s="179">
        <v>1501</v>
      </c>
      <c r="H293" s="180">
        <v>75923</v>
      </c>
      <c r="I293" s="178">
        <v>1532</v>
      </c>
      <c r="J293" s="180">
        <v>77913</v>
      </c>
    </row>
    <row r="294" spans="1:10">
      <c r="A294" s="178">
        <v>1409</v>
      </c>
      <c r="B294" s="180">
        <v>70015</v>
      </c>
      <c r="C294" s="179">
        <v>1440</v>
      </c>
      <c r="D294" s="180">
        <v>72004</v>
      </c>
      <c r="E294" s="199">
        <v>1471</v>
      </c>
      <c r="F294" s="180">
        <v>73995</v>
      </c>
      <c r="G294" s="179">
        <v>1502</v>
      </c>
      <c r="H294" s="180">
        <v>75987</v>
      </c>
      <c r="I294" s="178">
        <v>1533</v>
      </c>
      <c r="J294" s="180">
        <v>77978</v>
      </c>
    </row>
    <row r="295" spans="1:10">
      <c r="A295" s="178">
        <v>1410</v>
      </c>
      <c r="B295" s="180">
        <v>70079</v>
      </c>
      <c r="C295" s="179">
        <v>1441</v>
      </c>
      <c r="D295" s="180">
        <v>72069</v>
      </c>
      <c r="E295" s="179">
        <v>1472</v>
      </c>
      <c r="F295" s="180">
        <v>74060</v>
      </c>
      <c r="G295" s="179">
        <v>1503</v>
      </c>
      <c r="H295" s="180">
        <v>76051</v>
      </c>
      <c r="I295" s="178">
        <v>1534</v>
      </c>
      <c r="J295" s="180">
        <v>78042</v>
      </c>
    </row>
    <row r="296" spans="1:10">
      <c r="A296" s="178">
        <v>1411</v>
      </c>
      <c r="B296" s="180">
        <v>70143</v>
      </c>
      <c r="C296" s="179">
        <v>1442</v>
      </c>
      <c r="D296" s="180">
        <v>72133</v>
      </c>
      <c r="E296" s="179">
        <v>1473</v>
      </c>
      <c r="F296" s="180">
        <v>74124</v>
      </c>
      <c r="G296" s="179">
        <v>1504</v>
      </c>
      <c r="H296" s="180">
        <v>76115</v>
      </c>
      <c r="I296" s="178">
        <v>1535</v>
      </c>
      <c r="J296" s="180">
        <v>78106</v>
      </c>
    </row>
    <row r="297" spans="1:10">
      <c r="A297" s="178">
        <v>1412</v>
      </c>
      <c r="B297" s="180">
        <v>70207</v>
      </c>
      <c r="C297" s="179">
        <v>1443</v>
      </c>
      <c r="D297" s="180">
        <v>72197</v>
      </c>
      <c r="E297" s="179">
        <v>1474</v>
      </c>
      <c r="F297" s="180">
        <v>74188</v>
      </c>
      <c r="G297" s="179">
        <v>1505</v>
      </c>
      <c r="H297" s="180">
        <v>76179</v>
      </c>
      <c r="I297" s="178">
        <v>1536</v>
      </c>
      <c r="J297" s="180">
        <v>78170</v>
      </c>
    </row>
    <row r="298" spans="1:10">
      <c r="A298" s="178">
        <v>1413</v>
      </c>
      <c r="B298" s="180">
        <v>70272</v>
      </c>
      <c r="C298" s="179">
        <v>1444</v>
      </c>
      <c r="D298" s="180">
        <v>72261</v>
      </c>
      <c r="E298" s="179">
        <v>1475</v>
      </c>
      <c r="F298" s="180">
        <v>74252</v>
      </c>
      <c r="G298" s="179">
        <v>1506</v>
      </c>
      <c r="H298" s="180">
        <v>76244</v>
      </c>
      <c r="I298" s="178">
        <v>1537</v>
      </c>
      <c r="J298" s="180">
        <v>78235</v>
      </c>
    </row>
    <row r="299" spans="1:10">
      <c r="A299" s="178">
        <v>1414</v>
      </c>
      <c r="B299" s="180">
        <v>70336</v>
      </c>
      <c r="C299" s="179">
        <v>1445</v>
      </c>
      <c r="D299" s="180">
        <v>72326</v>
      </c>
      <c r="E299" s="179">
        <v>1476</v>
      </c>
      <c r="F299" s="180">
        <v>74317</v>
      </c>
      <c r="G299" s="179">
        <v>1507</v>
      </c>
      <c r="H299" s="180">
        <v>76308</v>
      </c>
      <c r="I299" s="178">
        <v>1538</v>
      </c>
      <c r="J299" s="180">
        <v>78299</v>
      </c>
    </row>
    <row r="300" spans="1:10">
      <c r="A300" s="178">
        <v>1415</v>
      </c>
      <c r="B300" s="180">
        <v>70400</v>
      </c>
      <c r="C300" s="199">
        <v>1446</v>
      </c>
      <c r="D300" s="180">
        <v>72390</v>
      </c>
      <c r="E300" s="179">
        <v>1477</v>
      </c>
      <c r="F300" s="180">
        <v>74381</v>
      </c>
      <c r="G300" s="179">
        <v>1508</v>
      </c>
      <c r="H300" s="180">
        <v>76372</v>
      </c>
      <c r="I300" s="178">
        <v>1539</v>
      </c>
      <c r="J300" s="180">
        <v>78363</v>
      </c>
    </row>
    <row r="301" spans="1:10">
      <c r="A301" s="178">
        <v>1416</v>
      </c>
      <c r="B301" s="180">
        <v>70464</v>
      </c>
      <c r="C301" s="179">
        <v>1447</v>
      </c>
      <c r="D301" s="180">
        <v>72454</v>
      </c>
      <c r="E301" s="179">
        <v>1478</v>
      </c>
      <c r="F301" s="180">
        <v>74445</v>
      </c>
      <c r="G301" s="179">
        <v>1509</v>
      </c>
      <c r="H301" s="180">
        <v>76436</v>
      </c>
      <c r="I301" s="178">
        <v>1540</v>
      </c>
      <c r="J301" s="180">
        <v>78427</v>
      </c>
    </row>
    <row r="302" spans="1:10">
      <c r="A302" s="178">
        <v>1417</v>
      </c>
      <c r="B302" s="180">
        <v>70528</v>
      </c>
      <c r="C302" s="179">
        <v>1448</v>
      </c>
      <c r="D302" s="180">
        <v>72518</v>
      </c>
      <c r="E302" s="179">
        <v>1479</v>
      </c>
      <c r="F302" s="180">
        <v>74509</v>
      </c>
      <c r="G302" s="179">
        <v>1510</v>
      </c>
      <c r="H302" s="180">
        <v>76501</v>
      </c>
      <c r="I302" s="178">
        <v>1541</v>
      </c>
      <c r="J302" s="180">
        <v>78491</v>
      </c>
    </row>
    <row r="303" spans="1:10">
      <c r="A303" s="178">
        <v>1418</v>
      </c>
      <c r="B303" s="180">
        <v>70592</v>
      </c>
      <c r="C303" s="179">
        <v>1449</v>
      </c>
      <c r="D303" s="180">
        <v>72582</v>
      </c>
      <c r="E303" s="179">
        <v>1480</v>
      </c>
      <c r="F303" s="180">
        <v>74574</v>
      </c>
      <c r="G303" s="179">
        <v>1511</v>
      </c>
      <c r="H303" s="180">
        <v>76565</v>
      </c>
      <c r="I303" s="178">
        <v>1542</v>
      </c>
      <c r="J303" s="180">
        <v>78556</v>
      </c>
    </row>
    <row r="304" spans="1:10">
      <c r="A304" s="178">
        <v>1419</v>
      </c>
      <c r="B304" s="180">
        <v>70656</v>
      </c>
      <c r="C304" s="179">
        <v>1450</v>
      </c>
      <c r="D304" s="180">
        <v>72647</v>
      </c>
      <c r="E304" s="179">
        <v>1481</v>
      </c>
      <c r="F304" s="180">
        <v>74638</v>
      </c>
      <c r="G304" s="179">
        <v>1512</v>
      </c>
      <c r="H304" s="180">
        <v>76629</v>
      </c>
      <c r="I304" s="178">
        <v>1543</v>
      </c>
      <c r="J304" s="180">
        <v>78620</v>
      </c>
    </row>
    <row r="305" spans="1:10">
      <c r="A305" s="178">
        <v>1420</v>
      </c>
      <c r="B305" s="180">
        <v>70721</v>
      </c>
      <c r="C305" s="179">
        <v>1451</v>
      </c>
      <c r="D305" s="180">
        <v>72711</v>
      </c>
      <c r="E305" s="179">
        <v>1482</v>
      </c>
      <c r="F305" s="180">
        <v>74702</v>
      </c>
      <c r="G305" s="179">
        <v>1513</v>
      </c>
      <c r="H305" s="180">
        <v>76693</v>
      </c>
      <c r="I305" s="178">
        <v>1544</v>
      </c>
      <c r="J305" s="180">
        <v>78684</v>
      </c>
    </row>
    <row r="306" spans="1:10">
      <c r="A306" s="178">
        <v>1421</v>
      </c>
      <c r="B306" s="180">
        <v>70785</v>
      </c>
      <c r="C306" s="179">
        <v>1452</v>
      </c>
      <c r="D306" s="180">
        <v>72775</v>
      </c>
      <c r="E306" s="179">
        <v>1483</v>
      </c>
      <c r="F306" s="180">
        <v>74766</v>
      </c>
      <c r="G306" s="199">
        <v>1514</v>
      </c>
      <c r="H306" s="180">
        <v>76758</v>
      </c>
      <c r="I306" s="178">
        <v>1545</v>
      </c>
      <c r="J306" s="180">
        <v>78748</v>
      </c>
    </row>
    <row r="307" spans="1:10">
      <c r="A307" s="178">
        <v>1422</v>
      </c>
      <c r="B307" s="180">
        <v>70849</v>
      </c>
      <c r="C307" s="179">
        <v>1453</v>
      </c>
      <c r="D307" s="180">
        <v>72839</v>
      </c>
      <c r="E307" s="179">
        <v>1484</v>
      </c>
      <c r="F307" s="180">
        <v>74830</v>
      </c>
      <c r="G307" s="179">
        <v>1515</v>
      </c>
      <c r="H307" s="180">
        <v>76822</v>
      </c>
      <c r="I307" s="178">
        <v>1546</v>
      </c>
      <c r="J307" s="180">
        <v>78812</v>
      </c>
    </row>
    <row r="308" spans="1:10">
      <c r="A308" s="178">
        <v>1423</v>
      </c>
      <c r="B308" s="180">
        <v>70913</v>
      </c>
      <c r="C308" s="179">
        <v>1454</v>
      </c>
      <c r="D308" s="180">
        <v>72904</v>
      </c>
      <c r="E308" s="179">
        <v>1485</v>
      </c>
      <c r="F308" s="180">
        <v>74895</v>
      </c>
      <c r="G308" s="179">
        <v>1516</v>
      </c>
      <c r="H308" s="180">
        <v>76886</v>
      </c>
      <c r="I308" s="178">
        <v>1547</v>
      </c>
      <c r="J308" s="180">
        <v>78876</v>
      </c>
    </row>
    <row r="309" spans="1:10">
      <c r="A309" s="178">
        <v>1424</v>
      </c>
      <c r="B309" s="180">
        <v>70977</v>
      </c>
      <c r="C309" s="179">
        <v>1455</v>
      </c>
      <c r="D309" s="180">
        <v>72968</v>
      </c>
      <c r="E309" s="179">
        <v>1486</v>
      </c>
      <c r="F309" s="180">
        <v>74959</v>
      </c>
      <c r="G309" s="179">
        <v>1517</v>
      </c>
      <c r="H309" s="180">
        <v>76950</v>
      </c>
      <c r="I309" s="178">
        <v>1548</v>
      </c>
      <c r="J309" s="180">
        <v>78941</v>
      </c>
    </row>
    <row r="310" spans="1:10">
      <c r="A310" s="178">
        <v>1425</v>
      </c>
      <c r="B310" s="180">
        <v>71042</v>
      </c>
      <c r="C310" s="179">
        <v>1456</v>
      </c>
      <c r="D310" s="180">
        <v>73032</v>
      </c>
      <c r="E310" s="179">
        <v>1487</v>
      </c>
      <c r="F310" s="180">
        <v>75023</v>
      </c>
      <c r="G310" s="179">
        <v>1518</v>
      </c>
      <c r="H310" s="180">
        <v>77014</v>
      </c>
      <c r="I310" s="178">
        <v>1549</v>
      </c>
      <c r="J310" s="180">
        <v>79005</v>
      </c>
    </row>
    <row r="311" spans="1:10">
      <c r="A311" s="178">
        <v>1550</v>
      </c>
      <c r="B311" s="180">
        <v>79069</v>
      </c>
      <c r="C311" s="179">
        <v>1581</v>
      </c>
      <c r="D311" s="180">
        <v>81058</v>
      </c>
      <c r="E311" s="179">
        <v>1612</v>
      </c>
      <c r="F311" s="180">
        <v>83044</v>
      </c>
      <c r="G311" s="179">
        <v>1643</v>
      </c>
      <c r="H311" s="180">
        <v>85026</v>
      </c>
      <c r="I311" s="178">
        <v>1674</v>
      </c>
      <c r="J311" s="180">
        <v>87004</v>
      </c>
    </row>
    <row r="312" spans="1:10">
      <c r="A312" s="178">
        <v>1551</v>
      </c>
      <c r="B312" s="180">
        <v>79133</v>
      </c>
      <c r="C312" s="179">
        <v>1582</v>
      </c>
      <c r="D312" s="180">
        <v>81122</v>
      </c>
      <c r="E312" s="179">
        <v>1613</v>
      </c>
      <c r="F312" s="180">
        <v>83108</v>
      </c>
      <c r="G312" s="179">
        <v>1644</v>
      </c>
      <c r="H312" s="180">
        <v>85090</v>
      </c>
      <c r="I312" s="178">
        <v>1675</v>
      </c>
      <c r="J312" s="180">
        <v>87068</v>
      </c>
    </row>
    <row r="313" spans="1:10">
      <c r="A313" s="178">
        <v>1552</v>
      </c>
      <c r="B313" s="180">
        <v>79197</v>
      </c>
      <c r="C313" s="179">
        <v>1583</v>
      </c>
      <c r="D313" s="180">
        <v>81186</v>
      </c>
      <c r="E313" s="179">
        <v>1614</v>
      </c>
      <c r="F313" s="180">
        <v>83172</v>
      </c>
      <c r="G313" s="179">
        <v>1645</v>
      </c>
      <c r="H313" s="180">
        <v>85154</v>
      </c>
      <c r="I313" s="178">
        <v>1676</v>
      </c>
      <c r="J313" s="180">
        <v>87131</v>
      </c>
    </row>
    <row r="314" spans="1:10">
      <c r="A314" s="178">
        <v>1553</v>
      </c>
      <c r="B314" s="180">
        <v>79262</v>
      </c>
      <c r="C314" s="179">
        <v>1584</v>
      </c>
      <c r="D314" s="180">
        <v>81250</v>
      </c>
      <c r="E314" s="179">
        <v>1615</v>
      </c>
      <c r="F314" s="180">
        <v>83236</v>
      </c>
      <c r="G314" s="179">
        <v>1646</v>
      </c>
      <c r="H314" s="180">
        <v>85218</v>
      </c>
      <c r="I314" s="178">
        <v>1677</v>
      </c>
      <c r="J314" s="180">
        <v>87195</v>
      </c>
    </row>
    <row r="315" spans="1:10">
      <c r="A315" s="178">
        <v>1554</v>
      </c>
      <c r="B315" s="180">
        <v>79326</v>
      </c>
      <c r="C315" s="179">
        <v>1585</v>
      </c>
      <c r="D315" s="180">
        <v>81314</v>
      </c>
      <c r="E315" s="179">
        <v>1616</v>
      </c>
      <c r="F315" s="180">
        <v>83300</v>
      </c>
      <c r="G315" s="179">
        <v>1647</v>
      </c>
      <c r="H315" s="180">
        <v>85281</v>
      </c>
      <c r="I315" s="178">
        <v>1678</v>
      </c>
      <c r="J315" s="180">
        <v>87259</v>
      </c>
    </row>
    <row r="316" spans="1:10">
      <c r="A316" s="178">
        <v>1555</v>
      </c>
      <c r="B316" s="180">
        <v>79390</v>
      </c>
      <c r="C316" s="179">
        <v>1586</v>
      </c>
      <c r="D316" s="180">
        <v>81378</v>
      </c>
      <c r="E316" s="179">
        <v>1617</v>
      </c>
      <c r="F316" s="180">
        <v>83364</v>
      </c>
      <c r="G316" s="179">
        <v>1648</v>
      </c>
      <c r="H316" s="180">
        <v>85345</v>
      </c>
      <c r="I316" s="178">
        <v>1679</v>
      </c>
      <c r="J316" s="180">
        <v>87323</v>
      </c>
    </row>
    <row r="317" spans="1:10">
      <c r="A317" s="178">
        <v>1556</v>
      </c>
      <c r="B317" s="180">
        <v>79454</v>
      </c>
      <c r="C317" s="179">
        <v>1587</v>
      </c>
      <c r="D317" s="180">
        <v>81442</v>
      </c>
      <c r="E317" s="179">
        <v>1618</v>
      </c>
      <c r="F317" s="180">
        <v>83428</v>
      </c>
      <c r="G317" s="179">
        <v>1649</v>
      </c>
      <c r="H317" s="180">
        <v>85409</v>
      </c>
      <c r="I317" s="178">
        <v>1680</v>
      </c>
      <c r="J317" s="180">
        <v>87386</v>
      </c>
    </row>
    <row r="318" spans="1:10">
      <c r="A318" s="178">
        <v>1557</v>
      </c>
      <c r="B318" s="180">
        <v>79518</v>
      </c>
      <c r="C318" s="179">
        <v>1588</v>
      </c>
      <c r="D318" s="180">
        <v>81506</v>
      </c>
      <c r="E318" s="179">
        <v>1619</v>
      </c>
      <c r="F318" s="180">
        <v>83492</v>
      </c>
      <c r="G318" s="179">
        <v>1650</v>
      </c>
      <c r="H318" s="180">
        <v>85473</v>
      </c>
      <c r="I318" s="178">
        <v>1681</v>
      </c>
      <c r="J318" s="180">
        <v>87450</v>
      </c>
    </row>
    <row r="319" spans="1:10">
      <c r="A319" s="178">
        <v>1558</v>
      </c>
      <c r="B319" s="180">
        <v>79582</v>
      </c>
      <c r="C319" s="179">
        <v>1589</v>
      </c>
      <c r="D319" s="180">
        <v>81570</v>
      </c>
      <c r="E319" s="179">
        <v>1620</v>
      </c>
      <c r="F319" s="180">
        <v>83555</v>
      </c>
      <c r="G319" s="179">
        <v>1651</v>
      </c>
      <c r="H319" s="180">
        <v>85537</v>
      </c>
      <c r="I319" s="178">
        <v>1682</v>
      </c>
      <c r="J319" s="180">
        <v>87514</v>
      </c>
    </row>
    <row r="320" spans="1:10">
      <c r="A320" s="178">
        <v>1559</v>
      </c>
      <c r="B320" s="180">
        <v>79647</v>
      </c>
      <c r="C320" s="179">
        <v>1590</v>
      </c>
      <c r="D320" s="180">
        <v>81634</v>
      </c>
      <c r="E320" s="179">
        <v>1621</v>
      </c>
      <c r="F320" s="180">
        <v>83619</v>
      </c>
      <c r="G320" s="179">
        <v>1652</v>
      </c>
      <c r="H320" s="180">
        <v>85601</v>
      </c>
      <c r="I320" s="178">
        <v>1683</v>
      </c>
      <c r="J320" s="180">
        <v>87577</v>
      </c>
    </row>
    <row r="321" spans="1:10">
      <c r="A321" s="178">
        <v>1560</v>
      </c>
      <c r="B321" s="180">
        <v>79711</v>
      </c>
      <c r="C321" s="179">
        <v>1591</v>
      </c>
      <c r="D321" s="180">
        <v>81699</v>
      </c>
      <c r="E321" s="179">
        <v>1622</v>
      </c>
      <c r="F321" s="180">
        <v>83683</v>
      </c>
      <c r="G321" s="179">
        <v>1653</v>
      </c>
      <c r="H321" s="180">
        <v>85665</v>
      </c>
      <c r="I321" s="178">
        <v>1684</v>
      </c>
      <c r="J321" s="180">
        <v>87641</v>
      </c>
    </row>
    <row r="322" spans="1:10">
      <c r="A322" s="178">
        <v>1561</v>
      </c>
      <c r="B322" s="180">
        <v>79775</v>
      </c>
      <c r="C322" s="179">
        <v>1592</v>
      </c>
      <c r="D322" s="180">
        <v>81763</v>
      </c>
      <c r="E322" s="179">
        <v>1623</v>
      </c>
      <c r="F322" s="180">
        <v>83747</v>
      </c>
      <c r="G322" s="179">
        <v>1654</v>
      </c>
      <c r="H322" s="180">
        <v>85728</v>
      </c>
      <c r="I322" s="178">
        <v>1685</v>
      </c>
      <c r="J322" s="180">
        <v>87705</v>
      </c>
    </row>
    <row r="323" spans="1:10">
      <c r="A323" s="178">
        <v>1562</v>
      </c>
      <c r="B323" s="180">
        <v>79839</v>
      </c>
      <c r="C323" s="179">
        <v>1593</v>
      </c>
      <c r="D323" s="180">
        <v>81827</v>
      </c>
      <c r="E323" s="179">
        <v>1624</v>
      </c>
      <c r="F323" s="180">
        <v>83811</v>
      </c>
      <c r="G323" s="179">
        <v>1655</v>
      </c>
      <c r="H323" s="180">
        <v>85792</v>
      </c>
      <c r="I323" s="178">
        <v>1686</v>
      </c>
      <c r="J323" s="180">
        <v>87768</v>
      </c>
    </row>
    <row r="324" spans="1:10">
      <c r="A324" s="178">
        <v>1563</v>
      </c>
      <c r="B324" s="180">
        <v>79903</v>
      </c>
      <c r="C324" s="179">
        <v>1594</v>
      </c>
      <c r="D324" s="180">
        <v>81891</v>
      </c>
      <c r="E324" s="179">
        <v>1625</v>
      </c>
      <c r="F324" s="180">
        <v>83875</v>
      </c>
      <c r="G324" s="179">
        <v>1656</v>
      </c>
      <c r="H324" s="180">
        <v>85856</v>
      </c>
      <c r="I324" s="178">
        <v>1687</v>
      </c>
      <c r="J324" s="180">
        <v>87832</v>
      </c>
    </row>
    <row r="325" spans="1:10">
      <c r="A325" s="178">
        <v>1564</v>
      </c>
      <c r="B325" s="180">
        <v>79967</v>
      </c>
      <c r="C325" s="179">
        <v>1595</v>
      </c>
      <c r="D325" s="180">
        <v>81955</v>
      </c>
      <c r="E325" s="179">
        <v>1626</v>
      </c>
      <c r="F325" s="180">
        <v>83939</v>
      </c>
      <c r="G325" s="179">
        <v>1657</v>
      </c>
      <c r="H325" s="180">
        <v>85920</v>
      </c>
      <c r="I325" s="178">
        <v>1688</v>
      </c>
      <c r="J325" s="180">
        <v>87896</v>
      </c>
    </row>
    <row r="326" spans="1:10">
      <c r="A326" s="178">
        <v>1565</v>
      </c>
      <c r="B326" s="180">
        <v>80031</v>
      </c>
      <c r="C326" s="179">
        <v>1596</v>
      </c>
      <c r="D326" s="180">
        <v>82019</v>
      </c>
      <c r="E326" s="179">
        <v>1627</v>
      </c>
      <c r="F326" s="180">
        <v>84003</v>
      </c>
      <c r="G326" s="179">
        <v>1658</v>
      </c>
      <c r="H326" s="180">
        <v>85984</v>
      </c>
      <c r="I326" s="178">
        <v>1689</v>
      </c>
      <c r="J326" s="180">
        <v>87959</v>
      </c>
    </row>
    <row r="327" spans="1:10">
      <c r="A327" s="178">
        <v>1566</v>
      </c>
      <c r="B327" s="180">
        <v>80096</v>
      </c>
      <c r="C327" s="179">
        <v>1597</v>
      </c>
      <c r="D327" s="180">
        <v>82083</v>
      </c>
      <c r="E327" s="179">
        <v>1628</v>
      </c>
      <c r="F327" s="180">
        <v>84067</v>
      </c>
      <c r="G327" s="179">
        <v>1659</v>
      </c>
      <c r="H327" s="180">
        <v>86048</v>
      </c>
      <c r="I327" s="178">
        <v>1690</v>
      </c>
      <c r="J327" s="180">
        <v>88023</v>
      </c>
    </row>
    <row r="328" spans="1:10">
      <c r="A328" s="178">
        <v>1567</v>
      </c>
      <c r="B328" s="180">
        <v>80160</v>
      </c>
      <c r="C328" s="179">
        <v>1598</v>
      </c>
      <c r="D328" s="180">
        <v>82147</v>
      </c>
      <c r="E328" s="179">
        <v>1629</v>
      </c>
      <c r="F328" s="180">
        <v>84131</v>
      </c>
      <c r="G328" s="179">
        <v>1660</v>
      </c>
      <c r="H328" s="180">
        <v>86111</v>
      </c>
      <c r="I328" s="178">
        <v>1691</v>
      </c>
      <c r="J328" s="180">
        <v>88087</v>
      </c>
    </row>
    <row r="329" spans="1:10">
      <c r="A329" s="178">
        <v>1568</v>
      </c>
      <c r="B329" s="180">
        <v>80224</v>
      </c>
      <c r="C329" s="179">
        <v>1599</v>
      </c>
      <c r="D329" s="180">
        <v>82211</v>
      </c>
      <c r="E329" s="179">
        <v>1630</v>
      </c>
      <c r="F329" s="180">
        <v>84195</v>
      </c>
      <c r="G329" s="179">
        <v>1661</v>
      </c>
      <c r="H329" s="180">
        <v>86175</v>
      </c>
      <c r="I329" s="178">
        <v>1692</v>
      </c>
      <c r="J329" s="180">
        <v>88150</v>
      </c>
    </row>
    <row r="330" spans="1:10">
      <c r="A330" s="178">
        <v>1569</v>
      </c>
      <c r="B330" s="180">
        <v>80288</v>
      </c>
      <c r="C330" s="179">
        <v>1600</v>
      </c>
      <c r="D330" s="180">
        <v>82275</v>
      </c>
      <c r="E330" s="179">
        <v>1631</v>
      </c>
      <c r="F330" s="180">
        <v>84259</v>
      </c>
      <c r="G330" s="179">
        <v>1662</v>
      </c>
      <c r="H330" s="180">
        <v>86239</v>
      </c>
      <c r="I330" s="178">
        <v>1693</v>
      </c>
      <c r="J330" s="180">
        <v>88214</v>
      </c>
    </row>
    <row r="331" spans="1:10">
      <c r="A331" s="178">
        <v>1570</v>
      </c>
      <c r="B331" s="180">
        <v>80352</v>
      </c>
      <c r="C331" s="179">
        <v>1601</v>
      </c>
      <c r="D331" s="180">
        <v>82339</v>
      </c>
      <c r="E331" s="179">
        <v>1632</v>
      </c>
      <c r="F331" s="180">
        <v>84323</v>
      </c>
      <c r="G331" s="179">
        <v>1663</v>
      </c>
      <c r="H331" s="180">
        <v>86303</v>
      </c>
      <c r="I331" s="178">
        <v>1694</v>
      </c>
      <c r="J331" s="180">
        <v>88277</v>
      </c>
    </row>
    <row r="332" spans="1:10">
      <c r="A332" s="178">
        <v>1571</v>
      </c>
      <c r="B332" s="180">
        <v>80416</v>
      </c>
      <c r="C332" s="179">
        <v>1602</v>
      </c>
      <c r="D332" s="180">
        <v>82403</v>
      </c>
      <c r="E332" s="179">
        <v>1633</v>
      </c>
      <c r="F332" s="180">
        <v>84387</v>
      </c>
      <c r="G332" s="179">
        <v>1664</v>
      </c>
      <c r="H332" s="180">
        <v>86366</v>
      </c>
      <c r="I332" s="178">
        <v>1695</v>
      </c>
      <c r="J332" s="180">
        <v>88341</v>
      </c>
    </row>
    <row r="333" spans="1:10">
      <c r="A333" s="178">
        <v>1572</v>
      </c>
      <c r="B333" s="180">
        <v>80480</v>
      </c>
      <c r="C333" s="179">
        <v>1603</v>
      </c>
      <c r="D333" s="180">
        <v>82467</v>
      </c>
      <c r="E333" s="179">
        <v>1634</v>
      </c>
      <c r="F333" s="180">
        <v>84451</v>
      </c>
      <c r="G333" s="179">
        <v>1665</v>
      </c>
      <c r="H333" s="180">
        <v>86430</v>
      </c>
      <c r="I333" s="178">
        <v>1696</v>
      </c>
      <c r="J333" s="180">
        <v>88405</v>
      </c>
    </row>
    <row r="334" spans="1:10">
      <c r="A334" s="178">
        <v>1573</v>
      </c>
      <c r="B334" s="180">
        <v>80545</v>
      </c>
      <c r="C334" s="179">
        <v>1604</v>
      </c>
      <c r="D334" s="180">
        <v>82531</v>
      </c>
      <c r="E334" s="179">
        <v>1635</v>
      </c>
      <c r="F334" s="180">
        <v>84515</v>
      </c>
      <c r="G334" s="179">
        <v>1666</v>
      </c>
      <c r="H334" s="180">
        <v>86494</v>
      </c>
      <c r="I334" s="178">
        <v>1697</v>
      </c>
      <c r="J334" s="180">
        <v>88468</v>
      </c>
    </row>
    <row r="335" spans="1:10">
      <c r="A335" s="178">
        <v>1574</v>
      </c>
      <c r="B335" s="180">
        <v>80609</v>
      </c>
      <c r="C335" s="179">
        <v>1605</v>
      </c>
      <c r="D335" s="180">
        <v>82595</v>
      </c>
      <c r="E335" s="179">
        <v>1636</v>
      </c>
      <c r="F335" s="180">
        <v>84579</v>
      </c>
      <c r="G335" s="179">
        <v>1667</v>
      </c>
      <c r="H335" s="180">
        <v>86558</v>
      </c>
      <c r="I335" s="178">
        <v>1698</v>
      </c>
      <c r="J335" s="180">
        <v>88532</v>
      </c>
    </row>
    <row r="336" spans="1:10">
      <c r="A336" s="178">
        <v>1575</v>
      </c>
      <c r="B336" s="180">
        <v>80673</v>
      </c>
      <c r="C336" s="179">
        <v>1606</v>
      </c>
      <c r="D336" s="180">
        <v>82659</v>
      </c>
      <c r="E336" s="179">
        <v>1637</v>
      </c>
      <c r="F336" s="180">
        <v>84643</v>
      </c>
      <c r="G336" s="179">
        <v>1668</v>
      </c>
      <c r="H336" s="180">
        <v>86622</v>
      </c>
      <c r="I336" s="178">
        <v>1699</v>
      </c>
      <c r="J336" s="180">
        <v>88596</v>
      </c>
    </row>
    <row r="337" spans="1:10">
      <c r="A337" s="178">
        <v>1576</v>
      </c>
      <c r="B337" s="180">
        <v>80737</v>
      </c>
      <c r="C337" s="179">
        <v>1607</v>
      </c>
      <c r="D337" s="180">
        <v>82723</v>
      </c>
      <c r="E337" s="179">
        <v>1638</v>
      </c>
      <c r="F337" s="180">
        <v>84706</v>
      </c>
      <c r="G337" s="179">
        <v>1669</v>
      </c>
      <c r="H337" s="180">
        <v>86685</v>
      </c>
      <c r="I337" s="178">
        <v>1700</v>
      </c>
      <c r="J337" s="180">
        <v>88659</v>
      </c>
    </row>
    <row r="338" spans="1:10">
      <c r="A338" s="178">
        <v>1577</v>
      </c>
      <c r="B338" s="180">
        <v>80801</v>
      </c>
      <c r="C338" s="179">
        <v>1608</v>
      </c>
      <c r="D338" s="180">
        <v>82787</v>
      </c>
      <c r="E338" s="179">
        <v>1639</v>
      </c>
      <c r="F338" s="180">
        <v>84770</v>
      </c>
      <c r="G338" s="179">
        <v>1670</v>
      </c>
      <c r="H338" s="180">
        <v>86749</v>
      </c>
      <c r="I338" s="178">
        <v>1701</v>
      </c>
      <c r="J338" s="180">
        <v>88723</v>
      </c>
    </row>
    <row r="339" spans="1:10">
      <c r="A339" s="178">
        <v>1578</v>
      </c>
      <c r="B339" s="180">
        <v>80865</v>
      </c>
      <c r="C339" s="179">
        <v>1609</v>
      </c>
      <c r="D339" s="180">
        <v>82851</v>
      </c>
      <c r="E339" s="179">
        <v>1640</v>
      </c>
      <c r="F339" s="180">
        <v>84834</v>
      </c>
      <c r="G339" s="179">
        <v>1671</v>
      </c>
      <c r="H339" s="180">
        <v>86813</v>
      </c>
      <c r="I339" s="178">
        <v>1702</v>
      </c>
      <c r="J339" s="180">
        <v>88786</v>
      </c>
    </row>
    <row r="340" spans="1:10">
      <c r="A340" s="178">
        <v>1579</v>
      </c>
      <c r="B340" s="180">
        <v>80929</v>
      </c>
      <c r="C340" s="179">
        <v>1610</v>
      </c>
      <c r="D340" s="180">
        <v>82916</v>
      </c>
      <c r="E340" s="179">
        <v>1641</v>
      </c>
      <c r="F340" s="180">
        <v>84898</v>
      </c>
      <c r="G340" s="179">
        <v>1672</v>
      </c>
      <c r="H340" s="180">
        <v>86877</v>
      </c>
      <c r="I340" s="178">
        <v>1703</v>
      </c>
      <c r="J340" s="180">
        <v>88850</v>
      </c>
    </row>
    <row r="341" spans="1:10">
      <c r="A341" s="178">
        <v>1580</v>
      </c>
      <c r="B341" s="180">
        <v>80993</v>
      </c>
      <c r="C341" s="179">
        <v>1611</v>
      </c>
      <c r="D341" s="180">
        <v>82980</v>
      </c>
      <c r="E341" s="179">
        <v>1642</v>
      </c>
      <c r="F341" s="180">
        <v>84962</v>
      </c>
      <c r="G341" s="179">
        <v>1673</v>
      </c>
      <c r="H341" s="180">
        <v>86940</v>
      </c>
      <c r="I341" s="178">
        <v>1704</v>
      </c>
      <c r="J341" s="180">
        <v>88913</v>
      </c>
    </row>
    <row r="342" spans="1:10">
      <c r="A342" s="178">
        <v>1705</v>
      </c>
      <c r="B342" s="180">
        <v>88977</v>
      </c>
      <c r="C342" s="179">
        <v>1736</v>
      </c>
      <c r="D342" s="180">
        <v>90943</v>
      </c>
      <c r="E342" s="179">
        <v>1767</v>
      </c>
      <c r="F342" s="180">
        <v>92903</v>
      </c>
      <c r="G342" s="179">
        <v>1798</v>
      </c>
      <c r="H342" s="180">
        <v>94855</v>
      </c>
      <c r="I342" s="178">
        <v>1829</v>
      </c>
      <c r="J342" s="180">
        <v>96797</v>
      </c>
    </row>
    <row r="343" spans="1:10">
      <c r="A343" s="178">
        <v>1706</v>
      </c>
      <c r="B343" s="180">
        <v>89040</v>
      </c>
      <c r="C343" s="179">
        <v>1737</v>
      </c>
      <c r="D343" s="180">
        <v>91007</v>
      </c>
      <c r="E343" s="179">
        <v>1768</v>
      </c>
      <c r="F343" s="180">
        <v>92966</v>
      </c>
      <c r="G343" s="179">
        <v>1799</v>
      </c>
      <c r="H343" s="180">
        <v>94918</v>
      </c>
      <c r="I343" s="178">
        <v>1830</v>
      </c>
      <c r="J343" s="180">
        <v>96860</v>
      </c>
    </row>
    <row r="344" spans="1:10">
      <c r="A344" s="178">
        <v>1707</v>
      </c>
      <c r="B344" s="180">
        <v>89104</v>
      </c>
      <c r="C344" s="179">
        <v>1738</v>
      </c>
      <c r="D344" s="180">
        <v>91070</v>
      </c>
      <c r="E344" s="179">
        <v>1769</v>
      </c>
      <c r="F344" s="180">
        <v>93029</v>
      </c>
      <c r="G344" s="179">
        <v>1800</v>
      </c>
      <c r="H344" s="180">
        <v>94980</v>
      </c>
      <c r="I344" s="178">
        <v>1831</v>
      </c>
      <c r="J344" s="180">
        <v>96922</v>
      </c>
    </row>
    <row r="345" spans="1:10">
      <c r="A345" s="178">
        <v>1708</v>
      </c>
      <c r="B345" s="180">
        <v>89167</v>
      </c>
      <c r="C345" s="179">
        <v>1739</v>
      </c>
      <c r="D345" s="180">
        <v>91133</v>
      </c>
      <c r="E345" s="179">
        <v>1770</v>
      </c>
      <c r="F345" s="180">
        <v>93092</v>
      </c>
      <c r="G345" s="179">
        <v>1801</v>
      </c>
      <c r="H345" s="180">
        <v>95043</v>
      </c>
      <c r="I345" s="178">
        <v>1832</v>
      </c>
      <c r="J345" s="180">
        <v>96985</v>
      </c>
    </row>
    <row r="346" spans="1:10">
      <c r="A346" s="178">
        <v>1709</v>
      </c>
      <c r="B346" s="180">
        <v>89231</v>
      </c>
      <c r="C346" s="179">
        <v>1740</v>
      </c>
      <c r="D346" s="180">
        <v>91197</v>
      </c>
      <c r="E346" s="179">
        <v>1771</v>
      </c>
      <c r="F346" s="180">
        <v>93155</v>
      </c>
      <c r="G346" s="179">
        <v>1802</v>
      </c>
      <c r="H346" s="180">
        <v>95106</v>
      </c>
      <c r="I346" s="178">
        <v>1833</v>
      </c>
      <c r="J346" s="180">
        <v>97048</v>
      </c>
    </row>
    <row r="347" spans="1:10">
      <c r="A347" s="178">
        <v>1710</v>
      </c>
      <c r="B347" s="180">
        <v>89294</v>
      </c>
      <c r="C347" s="179">
        <v>1741</v>
      </c>
      <c r="D347" s="180">
        <v>91260</v>
      </c>
      <c r="E347" s="179">
        <v>1772</v>
      </c>
      <c r="F347" s="180">
        <v>93218</v>
      </c>
      <c r="G347" s="179">
        <v>1803</v>
      </c>
      <c r="H347" s="180">
        <v>95169</v>
      </c>
      <c r="I347" s="178">
        <v>1834</v>
      </c>
      <c r="J347" s="180">
        <v>97110</v>
      </c>
    </row>
    <row r="348" spans="1:10">
      <c r="A348" s="178">
        <v>1711</v>
      </c>
      <c r="B348" s="180">
        <v>89358</v>
      </c>
      <c r="C348" s="179">
        <v>1742</v>
      </c>
      <c r="D348" s="180">
        <v>91323</v>
      </c>
      <c r="E348" s="179">
        <v>1773</v>
      </c>
      <c r="F348" s="180">
        <v>93281</v>
      </c>
      <c r="G348" s="179">
        <v>1804</v>
      </c>
      <c r="H348" s="180">
        <v>95231</v>
      </c>
      <c r="I348" s="178">
        <v>1835</v>
      </c>
      <c r="J348" s="180">
        <v>97172</v>
      </c>
    </row>
    <row r="349" spans="1:10">
      <c r="A349" s="178">
        <v>1712</v>
      </c>
      <c r="B349" s="180">
        <v>89421</v>
      </c>
      <c r="C349" s="179">
        <v>1743</v>
      </c>
      <c r="D349" s="180">
        <v>91387</v>
      </c>
      <c r="E349" s="179">
        <v>1774</v>
      </c>
      <c r="F349" s="180">
        <v>93345</v>
      </c>
      <c r="G349" s="179">
        <v>1805</v>
      </c>
      <c r="H349" s="180">
        <v>95294</v>
      </c>
      <c r="I349" s="178">
        <v>1836</v>
      </c>
      <c r="J349" s="180">
        <v>97235</v>
      </c>
    </row>
    <row r="350" spans="1:10">
      <c r="A350" s="178">
        <v>1713</v>
      </c>
      <c r="B350" s="180">
        <v>89485</v>
      </c>
      <c r="C350" s="179">
        <v>1744</v>
      </c>
      <c r="D350" s="180">
        <v>91450</v>
      </c>
      <c r="E350" s="179">
        <v>1775</v>
      </c>
      <c r="F350" s="180">
        <v>93408</v>
      </c>
      <c r="G350" s="179">
        <v>1806</v>
      </c>
      <c r="H350" s="180">
        <v>95357</v>
      </c>
      <c r="I350" s="178">
        <v>1837</v>
      </c>
      <c r="J350" s="180">
        <v>97297</v>
      </c>
    </row>
    <row r="351" spans="1:10">
      <c r="A351" s="178">
        <v>1714</v>
      </c>
      <c r="B351" s="180">
        <v>89548</v>
      </c>
      <c r="C351" s="179">
        <v>1745</v>
      </c>
      <c r="D351" s="180">
        <v>91513</v>
      </c>
      <c r="E351" s="179">
        <v>1776</v>
      </c>
      <c r="F351" s="180">
        <v>93471</v>
      </c>
      <c r="G351" s="179">
        <v>1807</v>
      </c>
      <c r="H351" s="180">
        <v>95420</v>
      </c>
      <c r="I351" s="178">
        <v>1838</v>
      </c>
      <c r="J351" s="180">
        <v>97360</v>
      </c>
    </row>
    <row r="352" spans="1:10">
      <c r="A352" s="178">
        <v>1715</v>
      </c>
      <c r="B352" s="180">
        <v>89612</v>
      </c>
      <c r="C352" s="179">
        <v>1746</v>
      </c>
      <c r="D352" s="180">
        <v>91576</v>
      </c>
      <c r="E352" s="179">
        <v>1777</v>
      </c>
      <c r="F352" s="180">
        <v>93534</v>
      </c>
      <c r="G352" s="179">
        <v>1808</v>
      </c>
      <c r="H352" s="180">
        <v>95482</v>
      </c>
      <c r="I352" s="178">
        <v>1839</v>
      </c>
      <c r="J352" s="180">
        <v>97422</v>
      </c>
    </row>
    <row r="353" spans="1:10">
      <c r="A353" s="178">
        <v>1716</v>
      </c>
      <c r="B353" s="180">
        <v>89675</v>
      </c>
      <c r="C353" s="179">
        <v>1747</v>
      </c>
      <c r="D353" s="180">
        <v>91640</v>
      </c>
      <c r="E353" s="179">
        <v>1778</v>
      </c>
      <c r="F353" s="180">
        <v>93597</v>
      </c>
      <c r="G353" s="179">
        <v>1809</v>
      </c>
      <c r="H353" s="180">
        <v>95545</v>
      </c>
      <c r="I353" s="178">
        <v>1840</v>
      </c>
      <c r="J353" s="180">
        <v>97485</v>
      </c>
    </row>
    <row r="354" spans="1:10">
      <c r="A354" s="178">
        <v>1717</v>
      </c>
      <c r="B354" s="180">
        <v>89739</v>
      </c>
      <c r="C354" s="179">
        <v>1748</v>
      </c>
      <c r="D354" s="180">
        <v>91703</v>
      </c>
      <c r="E354" s="179">
        <v>1779</v>
      </c>
      <c r="F354" s="180">
        <v>93660</v>
      </c>
      <c r="G354" s="179">
        <v>1810</v>
      </c>
      <c r="H354" s="180">
        <v>95608</v>
      </c>
      <c r="I354" s="178">
        <v>1841</v>
      </c>
      <c r="J354" s="180">
        <v>97547</v>
      </c>
    </row>
    <row r="355" spans="1:10">
      <c r="A355" s="178">
        <v>1718</v>
      </c>
      <c r="B355" s="180">
        <v>89802</v>
      </c>
      <c r="C355" s="179">
        <v>1749</v>
      </c>
      <c r="D355" s="180">
        <v>91766</v>
      </c>
      <c r="E355" s="179">
        <v>1780</v>
      </c>
      <c r="F355" s="180">
        <v>93723</v>
      </c>
      <c r="G355" s="179">
        <v>1811</v>
      </c>
      <c r="H355" s="180">
        <v>95671</v>
      </c>
      <c r="I355" s="178">
        <v>1842</v>
      </c>
      <c r="J355" s="180">
        <v>97609</v>
      </c>
    </row>
    <row r="356" spans="1:10">
      <c r="A356" s="178">
        <v>1719</v>
      </c>
      <c r="B356" s="180">
        <v>89866</v>
      </c>
      <c r="C356" s="179">
        <v>1750</v>
      </c>
      <c r="D356" s="180">
        <v>91829</v>
      </c>
      <c r="E356" s="179">
        <v>1781</v>
      </c>
      <c r="F356" s="180">
        <v>93786</v>
      </c>
      <c r="G356" s="179">
        <v>1812</v>
      </c>
      <c r="H356" s="180">
        <v>95733</v>
      </c>
      <c r="I356" s="178">
        <v>1843</v>
      </c>
      <c r="J356" s="180">
        <v>97672</v>
      </c>
    </row>
    <row r="357" spans="1:10">
      <c r="A357" s="178">
        <v>1720</v>
      </c>
      <c r="B357" s="180">
        <v>89929</v>
      </c>
      <c r="C357" s="179">
        <v>1751</v>
      </c>
      <c r="D357" s="180">
        <v>91893</v>
      </c>
      <c r="E357" s="179">
        <v>1782</v>
      </c>
      <c r="F357" s="180">
        <v>93848</v>
      </c>
      <c r="G357" s="179">
        <v>1813</v>
      </c>
      <c r="H357" s="180">
        <v>95796</v>
      </c>
      <c r="I357" s="178">
        <v>1844</v>
      </c>
      <c r="J357" s="180">
        <v>97734</v>
      </c>
    </row>
    <row r="358" spans="1:10">
      <c r="A358" s="178">
        <v>1721</v>
      </c>
      <c r="B358" s="180">
        <v>89993</v>
      </c>
      <c r="C358" s="179">
        <v>1752</v>
      </c>
      <c r="D358" s="180">
        <v>91956</v>
      </c>
      <c r="E358" s="179">
        <v>1783</v>
      </c>
      <c r="F358" s="180">
        <v>93911</v>
      </c>
      <c r="G358" s="179">
        <v>1814</v>
      </c>
      <c r="H358" s="180">
        <v>95859</v>
      </c>
      <c r="I358" s="178">
        <v>1845</v>
      </c>
      <c r="J358" s="180">
        <v>97796</v>
      </c>
    </row>
    <row r="359" spans="1:10">
      <c r="A359" s="178">
        <v>1722</v>
      </c>
      <c r="B359" s="180">
        <v>90056</v>
      </c>
      <c r="C359" s="179">
        <v>1753</v>
      </c>
      <c r="D359" s="180">
        <v>92019</v>
      </c>
      <c r="E359" s="179">
        <v>1784</v>
      </c>
      <c r="F359" s="180">
        <v>93974</v>
      </c>
      <c r="G359" s="179">
        <v>1815</v>
      </c>
      <c r="H359" s="180">
        <v>95921</v>
      </c>
      <c r="I359" s="178">
        <v>1846</v>
      </c>
      <c r="J359" s="180">
        <v>97859</v>
      </c>
    </row>
    <row r="360" spans="1:10">
      <c r="A360" s="178">
        <v>1723</v>
      </c>
      <c r="B360" s="180">
        <v>90120</v>
      </c>
      <c r="C360" s="179">
        <v>1754</v>
      </c>
      <c r="D360" s="180">
        <v>92082</v>
      </c>
      <c r="E360" s="179">
        <v>1785</v>
      </c>
      <c r="F360" s="180">
        <v>94037</v>
      </c>
      <c r="G360" s="179">
        <v>1816</v>
      </c>
      <c r="H360" s="180">
        <v>95984</v>
      </c>
      <c r="I360" s="178">
        <v>1847</v>
      </c>
      <c r="J360" s="180">
        <v>97921</v>
      </c>
    </row>
    <row r="361" spans="1:10">
      <c r="A361" s="178">
        <v>1724</v>
      </c>
      <c r="B361" s="180">
        <v>90183</v>
      </c>
      <c r="C361" s="179">
        <v>1755</v>
      </c>
      <c r="D361" s="180">
        <v>92145</v>
      </c>
      <c r="E361" s="179">
        <v>1786</v>
      </c>
      <c r="F361" s="180">
        <v>94100</v>
      </c>
      <c r="G361" s="179">
        <v>1817</v>
      </c>
      <c r="H361" s="180">
        <v>96047</v>
      </c>
      <c r="I361" s="178">
        <v>1848</v>
      </c>
      <c r="J361" s="180">
        <v>97983</v>
      </c>
    </row>
    <row r="362" spans="1:10">
      <c r="A362" s="178">
        <v>1725</v>
      </c>
      <c r="B362" s="180">
        <v>90246</v>
      </c>
      <c r="C362" s="179">
        <v>1756</v>
      </c>
      <c r="D362" s="180">
        <v>92209</v>
      </c>
      <c r="E362" s="179">
        <v>1787</v>
      </c>
      <c r="F362" s="180">
        <v>94163</v>
      </c>
      <c r="G362" s="179">
        <v>1818</v>
      </c>
      <c r="H362" s="180">
        <v>96109</v>
      </c>
      <c r="I362" s="178">
        <v>1849</v>
      </c>
      <c r="J362" s="180">
        <v>98046</v>
      </c>
    </row>
    <row r="363" spans="1:10">
      <c r="A363" s="178">
        <v>1726</v>
      </c>
      <c r="B363" s="180">
        <v>90310</v>
      </c>
      <c r="C363" s="179">
        <v>1757</v>
      </c>
      <c r="D363" s="180">
        <v>92272</v>
      </c>
      <c r="E363" s="179">
        <v>1788</v>
      </c>
      <c r="F363" s="180">
        <v>94226</v>
      </c>
      <c r="G363" s="179">
        <v>1819</v>
      </c>
      <c r="H363" s="180">
        <v>96172</v>
      </c>
      <c r="I363" s="178">
        <v>1850</v>
      </c>
      <c r="J363" s="180">
        <v>98108</v>
      </c>
    </row>
    <row r="364" spans="1:10">
      <c r="A364" s="178">
        <v>1727</v>
      </c>
      <c r="B364" s="180">
        <v>90373</v>
      </c>
      <c r="C364" s="179">
        <v>1758</v>
      </c>
      <c r="D364" s="180">
        <v>92335</v>
      </c>
      <c r="E364" s="179">
        <v>1789</v>
      </c>
      <c r="F364" s="180">
        <v>94289</v>
      </c>
      <c r="G364" s="179">
        <v>1820</v>
      </c>
      <c r="H364" s="180">
        <v>96234</v>
      </c>
      <c r="I364" s="178">
        <v>1851</v>
      </c>
      <c r="J364" s="180">
        <v>98170</v>
      </c>
    </row>
    <row r="365" spans="1:10">
      <c r="A365" s="178">
        <v>1728</v>
      </c>
      <c r="B365" s="180">
        <v>90437</v>
      </c>
      <c r="C365" s="179">
        <v>1759</v>
      </c>
      <c r="D365" s="180">
        <v>92398</v>
      </c>
      <c r="E365" s="179">
        <v>1790</v>
      </c>
      <c r="F365" s="180">
        <v>94352</v>
      </c>
      <c r="G365" s="179">
        <v>1821</v>
      </c>
      <c r="H365" s="180">
        <v>96297</v>
      </c>
      <c r="I365" s="178">
        <v>1852</v>
      </c>
      <c r="J365" s="180">
        <v>98233</v>
      </c>
    </row>
    <row r="366" spans="1:10">
      <c r="A366" s="178">
        <v>1729</v>
      </c>
      <c r="B366" s="180">
        <v>90500</v>
      </c>
      <c r="C366" s="179">
        <v>1760</v>
      </c>
      <c r="D366" s="180">
        <v>92461</v>
      </c>
      <c r="E366" s="179">
        <v>1791</v>
      </c>
      <c r="F366" s="180">
        <v>94415</v>
      </c>
      <c r="G366" s="179">
        <v>1822</v>
      </c>
      <c r="H366" s="180">
        <v>96360</v>
      </c>
      <c r="I366" s="178">
        <v>1853</v>
      </c>
      <c r="J366" s="180">
        <v>98295</v>
      </c>
    </row>
    <row r="367" spans="1:10">
      <c r="A367" s="178">
        <v>1730</v>
      </c>
      <c r="B367" s="180">
        <v>90563</v>
      </c>
      <c r="C367" s="179">
        <v>1761</v>
      </c>
      <c r="D367" s="180">
        <v>92524</v>
      </c>
      <c r="E367" s="179">
        <v>1792</v>
      </c>
      <c r="F367" s="180">
        <v>94478</v>
      </c>
      <c r="G367" s="179">
        <v>1823</v>
      </c>
      <c r="H367" s="180">
        <v>96422</v>
      </c>
      <c r="I367" s="178">
        <v>1854</v>
      </c>
      <c r="J367" s="180">
        <v>98357</v>
      </c>
    </row>
    <row r="368" spans="1:10">
      <c r="A368" s="178">
        <v>1731</v>
      </c>
      <c r="B368" s="180">
        <v>90627</v>
      </c>
      <c r="C368" s="179">
        <v>1762</v>
      </c>
      <c r="D368" s="180">
        <v>92588</v>
      </c>
      <c r="E368" s="179">
        <v>1793</v>
      </c>
      <c r="F368" s="180">
        <v>94541</v>
      </c>
      <c r="G368" s="179">
        <v>1824</v>
      </c>
      <c r="H368" s="180">
        <v>96485</v>
      </c>
      <c r="I368" s="178">
        <v>1855</v>
      </c>
      <c r="J368" s="180">
        <v>98419</v>
      </c>
    </row>
    <row r="369" spans="1:10">
      <c r="A369" s="178">
        <v>1732</v>
      </c>
      <c r="B369" s="180">
        <v>90690</v>
      </c>
      <c r="C369" s="179">
        <v>1763</v>
      </c>
      <c r="D369" s="180">
        <v>92651</v>
      </c>
      <c r="E369" s="179">
        <v>1794</v>
      </c>
      <c r="F369" s="180">
        <v>94603</v>
      </c>
      <c r="G369" s="179">
        <v>1825</v>
      </c>
      <c r="H369" s="180">
        <v>96547</v>
      </c>
      <c r="I369" s="178">
        <v>1856</v>
      </c>
      <c r="J369" s="180">
        <v>98482</v>
      </c>
    </row>
    <row r="370" spans="1:10">
      <c r="A370" s="178">
        <v>1733</v>
      </c>
      <c r="B370" s="180">
        <v>90753</v>
      </c>
      <c r="C370" s="179">
        <v>1764</v>
      </c>
      <c r="D370" s="180">
        <v>92714</v>
      </c>
      <c r="E370" s="179">
        <v>1795</v>
      </c>
      <c r="F370" s="180">
        <v>94666</v>
      </c>
      <c r="G370" s="179">
        <v>1826</v>
      </c>
      <c r="H370" s="180">
        <v>96610</v>
      </c>
      <c r="I370" s="178">
        <v>1857</v>
      </c>
      <c r="J370" s="180">
        <v>98544</v>
      </c>
    </row>
    <row r="371" spans="1:10">
      <c r="A371" s="178">
        <v>1734</v>
      </c>
      <c r="B371" s="180">
        <v>90817</v>
      </c>
      <c r="C371" s="179">
        <v>1765</v>
      </c>
      <c r="D371" s="180">
        <v>92777</v>
      </c>
      <c r="E371" s="179">
        <v>1796</v>
      </c>
      <c r="F371" s="180">
        <v>94729</v>
      </c>
      <c r="G371" s="179">
        <v>1827</v>
      </c>
      <c r="H371" s="180">
        <v>96672</v>
      </c>
      <c r="I371" s="178">
        <v>1858</v>
      </c>
      <c r="J371" s="180">
        <v>98606</v>
      </c>
    </row>
    <row r="372" spans="1:10">
      <c r="A372" s="178">
        <v>1735</v>
      </c>
      <c r="B372" s="180">
        <v>90880</v>
      </c>
      <c r="C372" s="179">
        <v>1766</v>
      </c>
      <c r="D372" s="180">
        <v>92840</v>
      </c>
      <c r="E372" s="179">
        <v>1797</v>
      </c>
      <c r="F372" s="180">
        <v>94792</v>
      </c>
      <c r="G372" s="179">
        <v>1828</v>
      </c>
      <c r="H372" s="180">
        <v>96735</v>
      </c>
      <c r="I372" s="178">
        <v>1859</v>
      </c>
      <c r="J372" s="180">
        <v>98668</v>
      </c>
    </row>
    <row r="373" spans="1:10">
      <c r="A373" s="178">
        <v>1860</v>
      </c>
      <c r="B373" s="180">
        <v>98730</v>
      </c>
      <c r="C373" s="179">
        <v>1891</v>
      </c>
      <c r="D373" s="180">
        <v>100653</v>
      </c>
      <c r="E373" s="179">
        <v>1922</v>
      </c>
      <c r="F373" s="180">
        <v>102563</v>
      </c>
      <c r="G373" s="179">
        <v>1953</v>
      </c>
      <c r="H373" s="180">
        <v>104461</v>
      </c>
      <c r="I373" s="178">
        <v>1984</v>
      </c>
      <c r="J373" s="180">
        <v>106345</v>
      </c>
    </row>
    <row r="374" spans="1:10">
      <c r="A374" s="178">
        <v>1861</v>
      </c>
      <c r="B374" s="180">
        <v>98793</v>
      </c>
      <c r="C374" s="179">
        <v>1892</v>
      </c>
      <c r="D374" s="180">
        <v>100714</v>
      </c>
      <c r="E374" s="179">
        <v>1923</v>
      </c>
      <c r="F374" s="180">
        <v>102624</v>
      </c>
      <c r="G374" s="179">
        <v>1954</v>
      </c>
      <c r="H374" s="180">
        <v>104522</v>
      </c>
      <c r="I374" s="178">
        <v>1985</v>
      </c>
      <c r="J374" s="180">
        <v>106405</v>
      </c>
    </row>
    <row r="375" spans="1:10">
      <c r="A375" s="178">
        <v>1862</v>
      </c>
      <c r="B375" s="180">
        <v>98855</v>
      </c>
      <c r="C375" s="179">
        <v>1893</v>
      </c>
      <c r="D375" s="180">
        <v>100776</v>
      </c>
      <c r="E375" s="179">
        <v>1924</v>
      </c>
      <c r="F375" s="180">
        <v>102686</v>
      </c>
      <c r="G375" s="179">
        <v>1955</v>
      </c>
      <c r="H375" s="180">
        <v>104583</v>
      </c>
      <c r="I375" s="178">
        <v>1986</v>
      </c>
      <c r="J375" s="180">
        <v>106466</v>
      </c>
    </row>
    <row r="376" spans="1:10">
      <c r="A376" s="178">
        <v>1863</v>
      </c>
      <c r="B376" s="180">
        <v>98917</v>
      </c>
      <c r="C376" s="179">
        <v>1894</v>
      </c>
      <c r="D376" s="180">
        <v>100838</v>
      </c>
      <c r="E376" s="179">
        <v>1925</v>
      </c>
      <c r="F376" s="180">
        <v>102747</v>
      </c>
      <c r="G376" s="179">
        <v>1956</v>
      </c>
      <c r="H376" s="180">
        <v>104644</v>
      </c>
      <c r="I376" s="178">
        <v>1987</v>
      </c>
      <c r="J376" s="180">
        <v>106526</v>
      </c>
    </row>
    <row r="377" spans="1:10">
      <c r="A377" s="178">
        <v>1864</v>
      </c>
      <c r="B377" s="180">
        <v>98979</v>
      </c>
      <c r="C377" s="179">
        <v>1895</v>
      </c>
      <c r="D377" s="180">
        <v>100900</v>
      </c>
      <c r="E377" s="179">
        <v>1926</v>
      </c>
      <c r="F377" s="180">
        <v>102809</v>
      </c>
      <c r="G377" s="179">
        <v>1957</v>
      </c>
      <c r="H377" s="180">
        <v>104705</v>
      </c>
      <c r="I377" s="178">
        <v>1988</v>
      </c>
      <c r="J377" s="180">
        <v>106587</v>
      </c>
    </row>
    <row r="378" spans="1:10">
      <c r="A378" s="178">
        <v>1865</v>
      </c>
      <c r="B378" s="180">
        <v>99041</v>
      </c>
      <c r="C378" s="179">
        <v>1896</v>
      </c>
      <c r="D378" s="180">
        <v>100962</v>
      </c>
      <c r="E378" s="179">
        <v>1927</v>
      </c>
      <c r="F378" s="180">
        <v>102870</v>
      </c>
      <c r="G378" s="179">
        <v>1958</v>
      </c>
      <c r="H378" s="180">
        <v>104766</v>
      </c>
      <c r="I378" s="178">
        <v>1989</v>
      </c>
      <c r="J378" s="180">
        <v>106647</v>
      </c>
    </row>
    <row r="379" spans="1:10">
      <c r="A379" s="178">
        <v>1866</v>
      </c>
      <c r="B379" s="180">
        <v>99103</v>
      </c>
      <c r="C379" s="179">
        <v>1897</v>
      </c>
      <c r="D379" s="180">
        <v>101023</v>
      </c>
      <c r="E379" s="179">
        <v>1928</v>
      </c>
      <c r="F379" s="180">
        <v>102931</v>
      </c>
      <c r="G379" s="179">
        <v>1959</v>
      </c>
      <c r="H379" s="180">
        <v>104827</v>
      </c>
      <c r="I379" s="178">
        <v>1990</v>
      </c>
      <c r="J379" s="180">
        <v>106708</v>
      </c>
    </row>
    <row r="380" spans="1:10">
      <c r="A380" s="178">
        <v>1867</v>
      </c>
      <c r="B380" s="180">
        <v>99165</v>
      </c>
      <c r="C380" s="179">
        <v>1898</v>
      </c>
      <c r="D380" s="180">
        <v>101085</v>
      </c>
      <c r="E380" s="179">
        <v>1929</v>
      </c>
      <c r="F380" s="180">
        <v>102993</v>
      </c>
      <c r="G380" s="179">
        <v>1960</v>
      </c>
      <c r="H380" s="180">
        <v>104887</v>
      </c>
      <c r="I380" s="178">
        <v>1991</v>
      </c>
      <c r="J380" s="180">
        <v>106768</v>
      </c>
    </row>
    <row r="381" spans="1:10">
      <c r="A381" s="178">
        <v>1868</v>
      </c>
      <c r="B381" s="180">
        <v>99228</v>
      </c>
      <c r="C381" s="179">
        <v>1899</v>
      </c>
      <c r="D381" s="180">
        <v>101147</v>
      </c>
      <c r="E381" s="179">
        <v>1930</v>
      </c>
      <c r="F381" s="180">
        <v>103054</v>
      </c>
      <c r="G381" s="179">
        <v>1961</v>
      </c>
      <c r="H381" s="180">
        <v>104948</v>
      </c>
      <c r="I381" s="178">
        <v>1992</v>
      </c>
      <c r="J381" s="180">
        <v>106829</v>
      </c>
    </row>
    <row r="382" spans="1:10">
      <c r="A382" s="178">
        <v>1869</v>
      </c>
      <c r="B382" s="180">
        <v>99290</v>
      </c>
      <c r="C382" s="179">
        <v>1900</v>
      </c>
      <c r="D382" s="180">
        <v>101209</v>
      </c>
      <c r="E382" s="179">
        <v>1931</v>
      </c>
      <c r="F382" s="180">
        <v>103115</v>
      </c>
      <c r="G382" s="179">
        <v>1962</v>
      </c>
      <c r="H382" s="180">
        <v>105009</v>
      </c>
      <c r="I382" s="178">
        <v>1993</v>
      </c>
      <c r="J382" s="180">
        <v>106889</v>
      </c>
    </row>
    <row r="383" spans="1:10">
      <c r="A383" s="178">
        <v>1870</v>
      </c>
      <c r="B383" s="180">
        <v>99352</v>
      </c>
      <c r="C383" s="179">
        <v>1901</v>
      </c>
      <c r="D383" s="180">
        <v>101270</v>
      </c>
      <c r="E383" s="179">
        <v>1932</v>
      </c>
      <c r="F383" s="180">
        <v>103177</v>
      </c>
      <c r="G383" s="179">
        <v>1963</v>
      </c>
      <c r="H383" s="180">
        <v>105070</v>
      </c>
      <c r="I383" s="178">
        <v>1994</v>
      </c>
      <c r="J383" s="180">
        <v>106950</v>
      </c>
    </row>
    <row r="384" spans="1:10">
      <c r="A384" s="178">
        <v>1871</v>
      </c>
      <c r="B384" s="180">
        <v>99414</v>
      </c>
      <c r="C384" s="179">
        <v>1902</v>
      </c>
      <c r="D384" s="180">
        <v>101332</v>
      </c>
      <c r="E384" s="179">
        <v>1933</v>
      </c>
      <c r="F384" s="180">
        <v>103238</v>
      </c>
      <c r="G384" s="179">
        <v>1964</v>
      </c>
      <c r="H384" s="180">
        <v>105131</v>
      </c>
      <c r="I384" s="178">
        <v>1995</v>
      </c>
      <c r="J384" s="180">
        <v>107010</v>
      </c>
    </row>
    <row r="385" spans="1:10">
      <c r="A385" s="178">
        <v>1872</v>
      </c>
      <c r="B385" s="180">
        <v>99476</v>
      </c>
      <c r="C385" s="179">
        <v>1903</v>
      </c>
      <c r="D385" s="180">
        <v>101394</v>
      </c>
      <c r="E385" s="179">
        <v>1934</v>
      </c>
      <c r="F385" s="180">
        <v>103299</v>
      </c>
      <c r="G385" s="179">
        <v>1965</v>
      </c>
      <c r="H385" s="180">
        <v>105192</v>
      </c>
      <c r="I385" s="178">
        <v>1996</v>
      </c>
      <c r="J385" s="180">
        <v>107070</v>
      </c>
    </row>
    <row r="386" spans="1:10">
      <c r="A386" s="178">
        <v>1873</v>
      </c>
      <c r="B386" s="180">
        <v>99538</v>
      </c>
      <c r="C386" s="179">
        <v>1904</v>
      </c>
      <c r="D386" s="180">
        <v>101455</v>
      </c>
      <c r="E386" s="179">
        <v>1935</v>
      </c>
      <c r="F386" s="180">
        <v>103361</v>
      </c>
      <c r="G386" s="179">
        <v>1966</v>
      </c>
      <c r="H386" s="180">
        <v>105253</v>
      </c>
      <c r="I386" s="178">
        <v>1997</v>
      </c>
      <c r="J386" s="180">
        <v>107131</v>
      </c>
    </row>
    <row r="387" spans="1:10">
      <c r="A387" s="178">
        <v>1874</v>
      </c>
      <c r="B387" s="180">
        <v>99600</v>
      </c>
      <c r="C387" s="179">
        <v>1905</v>
      </c>
      <c r="D387" s="180">
        <v>101517</v>
      </c>
      <c r="E387" s="179">
        <v>1936</v>
      </c>
      <c r="F387" s="180">
        <v>103422</v>
      </c>
      <c r="G387" s="179">
        <v>1967</v>
      </c>
      <c r="H387" s="180">
        <v>105313</v>
      </c>
      <c r="I387" s="178">
        <v>1998</v>
      </c>
      <c r="J387" s="180">
        <v>107191</v>
      </c>
    </row>
    <row r="388" spans="1:10">
      <c r="A388" s="178">
        <v>1875</v>
      </c>
      <c r="B388" s="180">
        <v>99662</v>
      </c>
      <c r="C388" s="179">
        <v>1906</v>
      </c>
      <c r="D388" s="180">
        <v>101579</v>
      </c>
      <c r="E388" s="179">
        <v>1937</v>
      </c>
      <c r="F388" s="180">
        <v>103483</v>
      </c>
      <c r="G388" s="179">
        <v>1968</v>
      </c>
      <c r="H388" s="180">
        <v>105374</v>
      </c>
      <c r="I388" s="178">
        <v>1999</v>
      </c>
      <c r="J388" s="180">
        <v>107251</v>
      </c>
    </row>
    <row r="389" spans="1:10">
      <c r="A389" s="178">
        <v>1876</v>
      </c>
      <c r="B389" s="180">
        <v>99724</v>
      </c>
      <c r="C389" s="179">
        <v>1907</v>
      </c>
      <c r="D389" s="180">
        <v>101640</v>
      </c>
      <c r="E389" s="179">
        <v>1938</v>
      </c>
      <c r="F389" s="180">
        <v>103544</v>
      </c>
      <c r="G389" s="179">
        <v>1969</v>
      </c>
      <c r="H389" s="180">
        <v>105435</v>
      </c>
      <c r="I389" s="178">
        <v>2000</v>
      </c>
      <c r="J389" s="180">
        <v>107312</v>
      </c>
    </row>
    <row r="390" spans="1:10">
      <c r="A390" s="178">
        <v>1877</v>
      </c>
      <c r="B390" s="180">
        <v>99786</v>
      </c>
      <c r="C390" s="179">
        <v>1908</v>
      </c>
      <c r="D390" s="180">
        <v>101702</v>
      </c>
      <c r="E390" s="179">
        <v>1939</v>
      </c>
      <c r="F390" s="180">
        <v>103605</v>
      </c>
      <c r="G390" s="179">
        <v>1970</v>
      </c>
      <c r="H390" s="180">
        <v>105496</v>
      </c>
      <c r="I390" s="178">
        <v>2001</v>
      </c>
      <c r="J390" s="180">
        <v>107372</v>
      </c>
    </row>
    <row r="391" spans="1:10">
      <c r="A391" s="178">
        <v>1878</v>
      </c>
      <c r="B391" s="180">
        <v>99848</v>
      </c>
      <c r="C391" s="179">
        <v>1909</v>
      </c>
      <c r="D391" s="180">
        <v>101763</v>
      </c>
      <c r="E391" s="179">
        <v>1940</v>
      </c>
      <c r="F391" s="180">
        <v>103667</v>
      </c>
      <c r="G391" s="179">
        <v>1971</v>
      </c>
      <c r="H391" s="180">
        <v>105557</v>
      </c>
      <c r="I391" s="178">
        <v>2002</v>
      </c>
      <c r="J391" s="180">
        <v>107432</v>
      </c>
    </row>
    <row r="392" spans="1:10">
      <c r="A392" s="178">
        <v>1879</v>
      </c>
      <c r="B392" s="180">
        <v>99910</v>
      </c>
      <c r="C392" s="179">
        <v>1910</v>
      </c>
      <c r="D392" s="180">
        <v>101825</v>
      </c>
      <c r="E392" s="179">
        <v>1941</v>
      </c>
      <c r="F392" s="180">
        <v>103728</v>
      </c>
      <c r="G392" s="179">
        <v>1972</v>
      </c>
      <c r="H392" s="180">
        <v>105617</v>
      </c>
      <c r="I392" s="178">
        <v>2003</v>
      </c>
      <c r="J392" s="180">
        <v>107492</v>
      </c>
    </row>
    <row r="393" spans="1:10">
      <c r="A393" s="178">
        <v>1880</v>
      </c>
      <c r="B393" s="180">
        <v>99972</v>
      </c>
      <c r="C393" s="179">
        <v>1911</v>
      </c>
      <c r="D393" s="180">
        <v>101887</v>
      </c>
      <c r="E393" s="179">
        <v>1942</v>
      </c>
      <c r="F393" s="180">
        <v>103789</v>
      </c>
      <c r="G393" s="179">
        <v>1973</v>
      </c>
      <c r="H393" s="180">
        <v>105678</v>
      </c>
      <c r="I393" s="178">
        <v>2004</v>
      </c>
      <c r="J393" s="180">
        <v>107553</v>
      </c>
    </row>
    <row r="394" spans="1:10">
      <c r="A394" s="178">
        <v>1881</v>
      </c>
      <c r="B394" s="180">
        <v>100034</v>
      </c>
      <c r="C394" s="179">
        <v>1912</v>
      </c>
      <c r="D394" s="180">
        <v>101948</v>
      </c>
      <c r="E394" s="179">
        <v>1943</v>
      </c>
      <c r="F394" s="180">
        <v>103850</v>
      </c>
      <c r="G394" s="179">
        <v>1974</v>
      </c>
      <c r="H394" s="180">
        <v>105739</v>
      </c>
      <c r="I394" s="178">
        <v>2005</v>
      </c>
      <c r="J394" s="180">
        <v>107613</v>
      </c>
    </row>
    <row r="395" spans="1:10">
      <c r="A395" s="178">
        <v>1882</v>
      </c>
      <c r="B395" s="180">
        <v>100096</v>
      </c>
      <c r="C395" s="179">
        <v>1913</v>
      </c>
      <c r="D395" s="180">
        <v>102010</v>
      </c>
      <c r="E395" s="179">
        <v>1944</v>
      </c>
      <c r="F395" s="180">
        <v>103911</v>
      </c>
      <c r="G395" s="179">
        <v>1975</v>
      </c>
      <c r="H395" s="180">
        <v>105799</v>
      </c>
      <c r="I395" s="178">
        <v>2006</v>
      </c>
      <c r="J395" s="180">
        <v>107673</v>
      </c>
    </row>
    <row r="396" spans="1:10">
      <c r="A396" s="178">
        <v>1883</v>
      </c>
      <c r="B396" s="180">
        <v>100158</v>
      </c>
      <c r="C396" s="179">
        <v>1914</v>
      </c>
      <c r="D396" s="180">
        <v>102071</v>
      </c>
      <c r="E396" s="179">
        <v>1945</v>
      </c>
      <c r="F396" s="180">
        <v>103972</v>
      </c>
      <c r="G396" s="179">
        <v>1976</v>
      </c>
      <c r="H396" s="180">
        <v>105860</v>
      </c>
      <c r="I396" s="178">
        <v>2007</v>
      </c>
      <c r="J396" s="180">
        <v>107733</v>
      </c>
    </row>
    <row r="397" spans="1:10">
      <c r="A397" s="178">
        <v>1884</v>
      </c>
      <c r="B397" s="180">
        <v>100220</v>
      </c>
      <c r="C397" s="179">
        <v>1915</v>
      </c>
      <c r="D397" s="180">
        <v>102133</v>
      </c>
      <c r="E397" s="179">
        <v>1946</v>
      </c>
      <c r="F397" s="180">
        <v>104033</v>
      </c>
      <c r="G397" s="179">
        <v>1977</v>
      </c>
      <c r="H397" s="180">
        <v>105921</v>
      </c>
      <c r="I397" s="178">
        <v>2008</v>
      </c>
      <c r="J397" s="180">
        <v>107793</v>
      </c>
    </row>
    <row r="398" spans="1:10">
      <c r="A398" s="178">
        <v>1885</v>
      </c>
      <c r="B398" s="180">
        <v>100281</v>
      </c>
      <c r="C398" s="179">
        <v>1916</v>
      </c>
      <c r="D398" s="180">
        <v>102194</v>
      </c>
      <c r="E398" s="179">
        <v>1947</v>
      </c>
      <c r="F398" s="180">
        <v>104095</v>
      </c>
      <c r="G398" s="179">
        <v>1978</v>
      </c>
      <c r="H398" s="180">
        <v>105981</v>
      </c>
      <c r="I398" s="178">
        <v>2009</v>
      </c>
      <c r="J398" s="180">
        <v>107854</v>
      </c>
    </row>
    <row r="399" spans="1:10">
      <c r="A399" s="178">
        <v>1886</v>
      </c>
      <c r="B399" s="180">
        <v>100343</v>
      </c>
      <c r="C399" s="179">
        <v>1917</v>
      </c>
      <c r="D399" s="180">
        <v>102256</v>
      </c>
      <c r="E399" s="179">
        <v>1948</v>
      </c>
      <c r="F399" s="180">
        <v>104156</v>
      </c>
      <c r="G399" s="179">
        <v>1979</v>
      </c>
      <c r="H399" s="180">
        <v>106042</v>
      </c>
      <c r="I399" s="178">
        <v>2010</v>
      </c>
      <c r="J399" s="180">
        <v>107914</v>
      </c>
    </row>
    <row r="400" spans="1:10">
      <c r="A400" s="178">
        <v>1887</v>
      </c>
      <c r="B400" s="180">
        <v>100405</v>
      </c>
      <c r="C400" s="179">
        <v>1918</v>
      </c>
      <c r="D400" s="180">
        <v>102317</v>
      </c>
      <c r="E400" s="179">
        <v>1949</v>
      </c>
      <c r="F400" s="180">
        <v>104217</v>
      </c>
      <c r="G400" s="179">
        <v>1980</v>
      </c>
      <c r="H400" s="180">
        <v>106103</v>
      </c>
      <c r="I400" s="178">
        <v>2011</v>
      </c>
      <c r="J400" s="180">
        <v>107974</v>
      </c>
    </row>
    <row r="401" spans="1:10">
      <c r="A401" s="178">
        <v>1888</v>
      </c>
      <c r="B401" s="180">
        <v>100467</v>
      </c>
      <c r="C401" s="179">
        <v>1919</v>
      </c>
      <c r="D401" s="180">
        <v>102379</v>
      </c>
      <c r="E401" s="179">
        <v>1950</v>
      </c>
      <c r="F401" s="180">
        <v>104278</v>
      </c>
      <c r="G401" s="179">
        <v>1981</v>
      </c>
      <c r="H401" s="180">
        <v>106163</v>
      </c>
      <c r="I401" s="178">
        <v>2012</v>
      </c>
      <c r="J401" s="180">
        <v>108034</v>
      </c>
    </row>
    <row r="402" spans="1:10">
      <c r="A402" s="178">
        <v>1889</v>
      </c>
      <c r="B402" s="180">
        <v>100529</v>
      </c>
      <c r="C402" s="179">
        <v>1920</v>
      </c>
      <c r="D402" s="180">
        <v>102440</v>
      </c>
      <c r="E402" s="179">
        <v>1951</v>
      </c>
      <c r="F402" s="180">
        <v>104339</v>
      </c>
      <c r="G402" s="179">
        <v>1982</v>
      </c>
      <c r="H402" s="180">
        <v>106224</v>
      </c>
      <c r="I402" s="178">
        <v>2013</v>
      </c>
      <c r="J402" s="180">
        <v>108094</v>
      </c>
    </row>
    <row r="403" spans="1:10">
      <c r="A403" s="178">
        <v>1890</v>
      </c>
      <c r="B403" s="180">
        <v>100591</v>
      </c>
      <c r="C403" s="179">
        <v>1921</v>
      </c>
      <c r="D403" s="180">
        <v>102502</v>
      </c>
      <c r="E403" s="179">
        <v>1952</v>
      </c>
      <c r="F403" s="180">
        <v>104400</v>
      </c>
      <c r="G403" s="179">
        <v>1983</v>
      </c>
      <c r="H403" s="180">
        <v>106284</v>
      </c>
      <c r="I403" s="178">
        <v>2014</v>
      </c>
      <c r="J403" s="180">
        <v>108154</v>
      </c>
    </row>
    <row r="404" spans="1:10">
      <c r="A404" s="178">
        <v>2015</v>
      </c>
      <c r="B404" s="180">
        <v>108214</v>
      </c>
      <c r="C404" s="179">
        <v>2046</v>
      </c>
      <c r="D404" s="180">
        <v>110068</v>
      </c>
      <c r="E404" s="179">
        <v>2077</v>
      </c>
      <c r="F404" s="180">
        <v>111905</v>
      </c>
      <c r="G404" s="179">
        <v>2108</v>
      </c>
      <c r="H404" s="180">
        <v>113723</v>
      </c>
      <c r="I404" s="178">
        <v>2139</v>
      </c>
      <c r="J404" s="180">
        <v>115523</v>
      </c>
    </row>
    <row r="405" spans="1:10">
      <c r="A405" s="178">
        <v>2016</v>
      </c>
      <c r="B405" s="180">
        <v>108274</v>
      </c>
      <c r="C405" s="179">
        <v>2047</v>
      </c>
      <c r="D405" s="180">
        <v>110127</v>
      </c>
      <c r="E405" s="179">
        <v>2078</v>
      </c>
      <c r="F405" s="180">
        <v>111963</v>
      </c>
      <c r="G405" s="179">
        <v>2109</v>
      </c>
      <c r="H405" s="180">
        <v>113782</v>
      </c>
      <c r="I405" s="178">
        <v>2140</v>
      </c>
      <c r="J405" s="180">
        <v>115581</v>
      </c>
    </row>
    <row r="406" spans="1:10">
      <c r="A406" s="178">
        <v>2017</v>
      </c>
      <c r="B406" s="180">
        <v>108334</v>
      </c>
      <c r="C406" s="179">
        <v>2048</v>
      </c>
      <c r="D406" s="180">
        <v>110187</v>
      </c>
      <c r="E406" s="179">
        <v>2079</v>
      </c>
      <c r="F406" s="180">
        <v>112022</v>
      </c>
      <c r="G406" s="179">
        <v>2110</v>
      </c>
      <c r="H406" s="180">
        <v>113840</v>
      </c>
      <c r="I406" s="178">
        <v>2141</v>
      </c>
      <c r="J406" s="180">
        <v>115638</v>
      </c>
    </row>
    <row r="407" spans="1:10">
      <c r="A407" s="178">
        <v>2018</v>
      </c>
      <c r="B407" s="180">
        <v>108394</v>
      </c>
      <c r="C407" s="179">
        <v>2049</v>
      </c>
      <c r="D407" s="180">
        <v>110246</v>
      </c>
      <c r="E407" s="179">
        <v>2080</v>
      </c>
      <c r="F407" s="180">
        <v>112081</v>
      </c>
      <c r="G407" s="179">
        <v>2111</v>
      </c>
      <c r="H407" s="180">
        <v>113898</v>
      </c>
      <c r="I407" s="178">
        <v>2142</v>
      </c>
      <c r="J407" s="180">
        <v>115696</v>
      </c>
    </row>
    <row r="408" spans="1:10">
      <c r="A408" s="178">
        <v>2019</v>
      </c>
      <c r="B408" s="180">
        <v>108454</v>
      </c>
      <c r="C408" s="179">
        <v>2050</v>
      </c>
      <c r="D408" s="180">
        <v>110306</v>
      </c>
      <c r="E408" s="179">
        <v>2081</v>
      </c>
      <c r="F408" s="180">
        <v>112140</v>
      </c>
      <c r="G408" s="179">
        <v>2112</v>
      </c>
      <c r="H408" s="180">
        <v>113957</v>
      </c>
      <c r="I408" s="178">
        <v>2143</v>
      </c>
      <c r="J408" s="180">
        <v>115754</v>
      </c>
    </row>
    <row r="409" spans="1:10">
      <c r="A409" s="178">
        <v>2020</v>
      </c>
      <c r="B409" s="180">
        <v>108514</v>
      </c>
      <c r="C409" s="179">
        <v>2051</v>
      </c>
      <c r="D409" s="180">
        <v>110365</v>
      </c>
      <c r="E409" s="179">
        <v>2082</v>
      </c>
      <c r="F409" s="180">
        <v>112199</v>
      </c>
      <c r="G409" s="179">
        <v>2113</v>
      </c>
      <c r="H409" s="180">
        <v>114015</v>
      </c>
      <c r="I409" s="178">
        <v>2144</v>
      </c>
      <c r="J409" s="180">
        <v>115811</v>
      </c>
    </row>
    <row r="410" spans="1:10">
      <c r="A410" s="178">
        <v>2021</v>
      </c>
      <c r="B410" s="180">
        <v>108574</v>
      </c>
      <c r="C410" s="179">
        <v>2052</v>
      </c>
      <c r="D410" s="180">
        <v>110425</v>
      </c>
      <c r="E410" s="179">
        <v>2083</v>
      </c>
      <c r="F410" s="180">
        <v>112258</v>
      </c>
      <c r="G410" s="179">
        <v>2114</v>
      </c>
      <c r="H410" s="180">
        <v>114073</v>
      </c>
      <c r="I410" s="178">
        <v>2145</v>
      </c>
      <c r="J410" s="180">
        <v>115869</v>
      </c>
    </row>
    <row r="411" spans="1:10">
      <c r="A411" s="178">
        <v>2022</v>
      </c>
      <c r="B411" s="180">
        <v>108634</v>
      </c>
      <c r="C411" s="179">
        <v>2053</v>
      </c>
      <c r="D411" s="180">
        <v>110484</v>
      </c>
      <c r="E411" s="179">
        <v>2084</v>
      </c>
      <c r="F411" s="180">
        <v>112317</v>
      </c>
      <c r="G411" s="179">
        <v>2115</v>
      </c>
      <c r="H411" s="180">
        <v>114131</v>
      </c>
      <c r="I411" s="178">
        <v>2146</v>
      </c>
      <c r="J411" s="180">
        <v>115927</v>
      </c>
    </row>
    <row r="412" spans="1:10">
      <c r="A412" s="178">
        <v>2023</v>
      </c>
      <c r="B412" s="180">
        <v>108694</v>
      </c>
      <c r="C412" s="179">
        <v>2054</v>
      </c>
      <c r="D412" s="180">
        <v>110543</v>
      </c>
      <c r="E412" s="179">
        <v>2085</v>
      </c>
      <c r="F412" s="180">
        <v>112376</v>
      </c>
      <c r="G412" s="179">
        <v>2116</v>
      </c>
      <c r="H412" s="180">
        <v>114190</v>
      </c>
      <c r="I412" s="178">
        <v>2147</v>
      </c>
      <c r="J412" s="180">
        <v>115984</v>
      </c>
    </row>
    <row r="413" spans="1:10">
      <c r="A413" s="178">
        <v>2024</v>
      </c>
      <c r="B413" s="180">
        <v>108754</v>
      </c>
      <c r="C413" s="179">
        <v>2055</v>
      </c>
      <c r="D413" s="180">
        <v>110603</v>
      </c>
      <c r="E413" s="179">
        <v>2086</v>
      </c>
      <c r="F413" s="180">
        <v>112434</v>
      </c>
      <c r="G413" s="179">
        <v>2117</v>
      </c>
      <c r="H413" s="180">
        <v>114248</v>
      </c>
      <c r="I413" s="178">
        <v>2148</v>
      </c>
      <c r="J413" s="180">
        <v>116042</v>
      </c>
    </row>
    <row r="414" spans="1:10">
      <c r="A414" s="178">
        <v>2025</v>
      </c>
      <c r="B414" s="180">
        <v>108814</v>
      </c>
      <c r="C414" s="179">
        <v>2056</v>
      </c>
      <c r="D414" s="180">
        <v>110662</v>
      </c>
      <c r="E414" s="179">
        <v>2087</v>
      </c>
      <c r="F414" s="180">
        <v>112493</v>
      </c>
      <c r="G414" s="179">
        <v>2118</v>
      </c>
      <c r="H414" s="180">
        <v>114306</v>
      </c>
      <c r="I414" s="178">
        <v>2149</v>
      </c>
      <c r="J414" s="180">
        <v>116099</v>
      </c>
    </row>
    <row r="415" spans="1:10">
      <c r="A415" s="178">
        <v>2026</v>
      </c>
      <c r="B415" s="180">
        <v>108874</v>
      </c>
      <c r="C415" s="179">
        <v>2057</v>
      </c>
      <c r="D415" s="180">
        <v>110722</v>
      </c>
      <c r="E415" s="179">
        <v>2088</v>
      </c>
      <c r="F415" s="180">
        <v>112552</v>
      </c>
      <c r="G415" s="179">
        <v>2119</v>
      </c>
      <c r="H415" s="180">
        <v>114364</v>
      </c>
      <c r="I415" s="178">
        <v>2150</v>
      </c>
      <c r="J415" s="180">
        <v>116157</v>
      </c>
    </row>
    <row r="416" spans="1:10">
      <c r="A416" s="178">
        <v>2027</v>
      </c>
      <c r="B416" s="180">
        <v>108934</v>
      </c>
      <c r="C416" s="179">
        <v>2058</v>
      </c>
      <c r="D416" s="180">
        <v>110781</v>
      </c>
      <c r="E416" s="179">
        <v>2089</v>
      </c>
      <c r="F416" s="180">
        <v>112611</v>
      </c>
      <c r="G416" s="179">
        <v>2120</v>
      </c>
      <c r="H416" s="180">
        <v>114422</v>
      </c>
      <c r="I416" s="178">
        <v>2151</v>
      </c>
      <c r="J416" s="180">
        <v>116214</v>
      </c>
    </row>
    <row r="417" spans="1:10">
      <c r="A417" s="178">
        <v>2028</v>
      </c>
      <c r="B417" s="180">
        <v>108994</v>
      </c>
      <c r="C417" s="179">
        <v>2059</v>
      </c>
      <c r="D417" s="180">
        <v>110840</v>
      </c>
      <c r="E417" s="179">
        <v>209</v>
      </c>
      <c r="F417" s="180">
        <v>112669</v>
      </c>
      <c r="G417" s="179">
        <v>2121</v>
      </c>
      <c r="H417" s="180">
        <v>114480</v>
      </c>
      <c r="I417" s="178">
        <v>2152</v>
      </c>
      <c r="J417" s="180">
        <v>116272</v>
      </c>
    </row>
    <row r="418" spans="1:10">
      <c r="A418" s="178">
        <v>2029</v>
      </c>
      <c r="B418" s="180">
        <v>109053</v>
      </c>
      <c r="C418" s="179">
        <v>2060</v>
      </c>
      <c r="D418" s="180">
        <v>110899</v>
      </c>
      <c r="E418" s="179">
        <v>2091</v>
      </c>
      <c r="F418" s="180">
        <v>112728</v>
      </c>
      <c r="G418" s="179">
        <v>2122</v>
      </c>
      <c r="H418" s="180">
        <v>114538</v>
      </c>
      <c r="I418" s="178">
        <v>2153</v>
      </c>
      <c r="J418" s="180">
        <v>116329</v>
      </c>
    </row>
    <row r="419" spans="1:10">
      <c r="A419" s="178">
        <v>2030</v>
      </c>
      <c r="B419" s="180">
        <v>109113</v>
      </c>
      <c r="C419" s="179">
        <v>2061</v>
      </c>
      <c r="D419" s="180">
        <v>110959</v>
      </c>
      <c r="E419" s="179">
        <v>2092</v>
      </c>
      <c r="F419" s="180">
        <v>112787</v>
      </c>
      <c r="G419" s="179">
        <v>2123</v>
      </c>
      <c r="H419" s="180">
        <v>114597</v>
      </c>
      <c r="I419" s="178">
        <v>2154</v>
      </c>
      <c r="J419" s="180">
        <v>116387</v>
      </c>
    </row>
    <row r="420" spans="1:10">
      <c r="A420" s="178">
        <v>2031</v>
      </c>
      <c r="B420" s="180">
        <v>109173</v>
      </c>
      <c r="C420" s="179">
        <v>2062</v>
      </c>
      <c r="D420" s="180">
        <v>111018</v>
      </c>
      <c r="E420" s="179">
        <v>2093</v>
      </c>
      <c r="F420" s="180">
        <v>112846</v>
      </c>
      <c r="G420" s="179">
        <v>2124</v>
      </c>
      <c r="H420" s="180">
        <v>114655</v>
      </c>
      <c r="I420" s="178">
        <v>2155</v>
      </c>
      <c r="J420" s="180">
        <v>116444</v>
      </c>
    </row>
    <row r="421" spans="1:10">
      <c r="A421" s="178">
        <v>2032</v>
      </c>
      <c r="B421" s="180">
        <v>109233</v>
      </c>
      <c r="C421" s="179">
        <v>2063</v>
      </c>
      <c r="D421" s="180">
        <v>111077</v>
      </c>
      <c r="E421" s="179">
        <v>2094</v>
      </c>
      <c r="F421" s="180">
        <v>112904</v>
      </c>
      <c r="G421" s="179">
        <v>2125</v>
      </c>
      <c r="H421" s="180">
        <v>114713</v>
      </c>
      <c r="I421" s="178">
        <v>2156</v>
      </c>
      <c r="J421" s="180">
        <v>116501</v>
      </c>
    </row>
    <row r="422" spans="1:10">
      <c r="A422" s="178">
        <v>2033</v>
      </c>
      <c r="B422" s="180">
        <v>109292</v>
      </c>
      <c r="C422" s="179">
        <v>2064</v>
      </c>
      <c r="D422" s="180">
        <v>111136</v>
      </c>
      <c r="E422" s="179">
        <v>2095</v>
      </c>
      <c r="F422" s="180">
        <v>112963</v>
      </c>
      <c r="G422" s="179">
        <v>2126</v>
      </c>
      <c r="H422" s="180">
        <v>114771</v>
      </c>
      <c r="I422" s="178">
        <v>2157</v>
      </c>
      <c r="J422" s="180">
        <v>116559</v>
      </c>
    </row>
    <row r="423" spans="1:10">
      <c r="A423" s="178">
        <v>2034</v>
      </c>
      <c r="B423" s="180">
        <v>109352</v>
      </c>
      <c r="C423" s="179">
        <v>2065</v>
      </c>
      <c r="D423" s="180">
        <v>111196</v>
      </c>
      <c r="E423" s="179">
        <v>2096</v>
      </c>
      <c r="F423" s="180">
        <v>113021</v>
      </c>
      <c r="G423" s="179">
        <v>2127</v>
      </c>
      <c r="H423" s="180">
        <v>114829</v>
      </c>
      <c r="I423" s="178">
        <v>2158</v>
      </c>
      <c r="J423" s="180">
        <v>116616</v>
      </c>
    </row>
    <row r="424" spans="1:10">
      <c r="A424" s="178">
        <v>2035</v>
      </c>
      <c r="B424" s="180">
        <v>109412</v>
      </c>
      <c r="C424" s="179">
        <v>2066</v>
      </c>
      <c r="D424" s="180">
        <v>111255</v>
      </c>
      <c r="E424" s="179">
        <v>2097</v>
      </c>
      <c r="F424" s="180">
        <v>113080</v>
      </c>
      <c r="G424" s="179">
        <v>2128</v>
      </c>
      <c r="H424" s="180">
        <v>114887</v>
      </c>
      <c r="I424" s="178">
        <v>2159</v>
      </c>
      <c r="J424" s="180">
        <v>116674</v>
      </c>
    </row>
    <row r="425" spans="1:10">
      <c r="A425" s="178">
        <v>2036</v>
      </c>
      <c r="B425" s="180">
        <v>109472</v>
      </c>
      <c r="C425" s="179">
        <v>2067</v>
      </c>
      <c r="D425" s="180">
        <v>111314</v>
      </c>
      <c r="E425" s="179">
        <v>2098</v>
      </c>
      <c r="F425" s="180">
        <v>113139</v>
      </c>
      <c r="G425" s="179">
        <v>2129</v>
      </c>
      <c r="H425" s="180">
        <v>114945</v>
      </c>
      <c r="I425" s="178">
        <v>2160</v>
      </c>
      <c r="J425" s="180">
        <v>116731</v>
      </c>
    </row>
    <row r="426" spans="1:10">
      <c r="A426" s="178">
        <v>2037</v>
      </c>
      <c r="B426" s="180">
        <v>109531</v>
      </c>
      <c r="C426" s="179">
        <v>2068</v>
      </c>
      <c r="D426" s="180">
        <v>111373</v>
      </c>
      <c r="E426" s="179">
        <v>2099</v>
      </c>
      <c r="F426" s="180">
        <v>113197</v>
      </c>
      <c r="G426" s="179">
        <v>2130</v>
      </c>
      <c r="H426" s="180">
        <v>115003</v>
      </c>
      <c r="I426" s="178">
        <v>2161</v>
      </c>
      <c r="J426" s="180">
        <v>116788</v>
      </c>
    </row>
    <row r="427" spans="1:10">
      <c r="A427" s="178">
        <v>2038</v>
      </c>
      <c r="B427" s="180">
        <v>109591</v>
      </c>
      <c r="C427" s="179">
        <v>2069</v>
      </c>
      <c r="D427" s="180">
        <v>111432</v>
      </c>
      <c r="E427" s="179">
        <v>2100</v>
      </c>
      <c r="F427" s="180">
        <v>113256</v>
      </c>
      <c r="G427" s="179">
        <v>2131</v>
      </c>
      <c r="H427" s="180">
        <v>115060</v>
      </c>
      <c r="I427" s="178">
        <v>2162</v>
      </c>
      <c r="J427" s="180">
        <v>116845</v>
      </c>
    </row>
    <row r="428" spans="1:10">
      <c r="A428" s="178">
        <v>2039</v>
      </c>
      <c r="B428" s="180">
        <v>109651</v>
      </c>
      <c r="C428" s="179">
        <v>2070</v>
      </c>
      <c r="D428" s="180">
        <v>111491</v>
      </c>
      <c r="E428" s="179">
        <v>2101</v>
      </c>
      <c r="F428" s="180">
        <v>113314</v>
      </c>
      <c r="G428" s="179">
        <v>2132</v>
      </c>
      <c r="H428" s="180">
        <v>115118</v>
      </c>
      <c r="I428" s="178">
        <v>2163</v>
      </c>
      <c r="J428" s="180">
        <v>116902</v>
      </c>
    </row>
    <row r="429" spans="1:10">
      <c r="A429" s="178">
        <v>2040</v>
      </c>
      <c r="B429" s="180">
        <v>109710</v>
      </c>
      <c r="C429" s="179">
        <v>2071</v>
      </c>
      <c r="D429" s="180">
        <v>11155</v>
      </c>
      <c r="E429" s="179">
        <v>2102</v>
      </c>
      <c r="F429" s="180">
        <v>113373</v>
      </c>
      <c r="G429" s="179">
        <v>2133</v>
      </c>
      <c r="H429" s="180">
        <v>115176</v>
      </c>
      <c r="I429" s="178">
        <v>2164</v>
      </c>
      <c r="J429" s="180">
        <v>116960</v>
      </c>
    </row>
    <row r="430" spans="1:10">
      <c r="A430" s="178">
        <v>2041</v>
      </c>
      <c r="B430" s="180">
        <v>109770</v>
      </c>
      <c r="C430" s="179">
        <v>2072</v>
      </c>
      <c r="D430" s="180">
        <v>111609</v>
      </c>
      <c r="E430" s="179">
        <v>2103</v>
      </c>
      <c r="F430" s="180">
        <v>113431</v>
      </c>
      <c r="G430" s="179">
        <v>2134</v>
      </c>
      <c r="H430" s="180">
        <v>115234</v>
      </c>
      <c r="I430" s="178">
        <v>2165</v>
      </c>
      <c r="J430" s="180">
        <v>117017</v>
      </c>
    </row>
    <row r="431" spans="1:10">
      <c r="A431" s="178">
        <v>2042</v>
      </c>
      <c r="B431" s="180">
        <v>109830</v>
      </c>
      <c r="C431" s="179">
        <v>2073</v>
      </c>
      <c r="D431" s="180">
        <v>111668</v>
      </c>
      <c r="E431" s="179">
        <v>2104</v>
      </c>
      <c r="F431" s="180">
        <v>113490</v>
      </c>
      <c r="G431" s="179">
        <v>2135</v>
      </c>
      <c r="H431" s="180">
        <v>115292</v>
      </c>
      <c r="I431" s="178">
        <v>2166</v>
      </c>
      <c r="J431" s="180">
        <v>117074</v>
      </c>
    </row>
    <row r="432" spans="1:10">
      <c r="A432" s="178">
        <v>2043</v>
      </c>
      <c r="B432" s="180">
        <v>109889</v>
      </c>
      <c r="C432" s="179">
        <v>2074</v>
      </c>
      <c r="D432" s="180">
        <v>111728</v>
      </c>
      <c r="E432" s="179">
        <v>2105</v>
      </c>
      <c r="F432" s="180">
        <v>113548</v>
      </c>
      <c r="G432" s="179">
        <v>2136</v>
      </c>
      <c r="H432" s="180">
        <v>115350</v>
      </c>
      <c r="I432" s="178">
        <v>2167</v>
      </c>
      <c r="J432" s="180">
        <v>117131</v>
      </c>
    </row>
    <row r="433" spans="1:10">
      <c r="A433" s="178">
        <v>2044</v>
      </c>
      <c r="B433" s="180">
        <v>109949</v>
      </c>
      <c r="C433" s="179">
        <v>2075</v>
      </c>
      <c r="D433" s="180">
        <v>111787</v>
      </c>
      <c r="E433" s="179">
        <v>2106</v>
      </c>
      <c r="F433" s="180">
        <v>113606</v>
      </c>
      <c r="G433" s="179">
        <v>2137</v>
      </c>
      <c r="H433" s="180">
        <v>115407</v>
      </c>
      <c r="I433" s="178">
        <v>2168</v>
      </c>
      <c r="J433" s="180">
        <v>117188</v>
      </c>
    </row>
    <row r="434" spans="1:10">
      <c r="A434" s="178">
        <v>2045</v>
      </c>
      <c r="B434" s="180">
        <v>110008</v>
      </c>
      <c r="C434" s="179">
        <v>2076</v>
      </c>
      <c r="D434" s="180">
        <v>111846</v>
      </c>
      <c r="E434" s="179">
        <v>2107</v>
      </c>
      <c r="F434" s="180">
        <v>113665</v>
      </c>
      <c r="G434" s="179">
        <v>2138</v>
      </c>
      <c r="H434" s="180">
        <v>115465</v>
      </c>
      <c r="I434" s="178">
        <v>2169</v>
      </c>
      <c r="J434" s="180">
        <v>117245</v>
      </c>
    </row>
    <row r="435" spans="1:10">
      <c r="A435" s="178">
        <v>2170</v>
      </c>
      <c r="B435" s="180">
        <v>117302</v>
      </c>
      <c r="C435" s="179">
        <v>2201</v>
      </c>
      <c r="D435" s="180">
        <v>119060</v>
      </c>
      <c r="E435" s="179">
        <v>2232</v>
      </c>
      <c r="F435" s="180">
        <v>120796</v>
      </c>
      <c r="G435" s="179">
        <v>2263</v>
      </c>
      <c r="H435" s="180">
        <v>122507</v>
      </c>
      <c r="I435" s="178">
        <v>2294</v>
      </c>
      <c r="J435" s="180">
        <v>124193</v>
      </c>
    </row>
    <row r="436" spans="1:10">
      <c r="A436" s="178">
        <v>2171</v>
      </c>
      <c r="B436" s="180">
        <v>117359</v>
      </c>
      <c r="C436" s="179">
        <v>2202</v>
      </c>
      <c r="D436" s="180">
        <v>119117</v>
      </c>
      <c r="E436" s="179">
        <v>2233</v>
      </c>
      <c r="F436" s="180">
        <v>120851</v>
      </c>
      <c r="G436" s="179">
        <v>2264</v>
      </c>
      <c r="H436" s="180">
        <v>122562</v>
      </c>
      <c r="I436" s="178">
        <v>2295</v>
      </c>
      <c r="J436" s="180">
        <v>124246</v>
      </c>
    </row>
    <row r="437" spans="1:10">
      <c r="A437" s="178">
        <v>2172</v>
      </c>
      <c r="B437" s="180">
        <v>117416</v>
      </c>
      <c r="C437" s="179">
        <v>2203</v>
      </c>
      <c r="D437" s="180">
        <v>119173</v>
      </c>
      <c r="E437" s="179">
        <v>2234</v>
      </c>
      <c r="F437" s="180">
        <v>120907</v>
      </c>
      <c r="G437" s="179">
        <v>2265</v>
      </c>
      <c r="H437" s="180">
        <v>122616</v>
      </c>
      <c r="I437" s="178">
        <v>2296</v>
      </c>
      <c r="J437" s="180">
        <v>124300</v>
      </c>
    </row>
    <row r="438" spans="1:10">
      <c r="A438" s="178">
        <v>2173</v>
      </c>
      <c r="B438" s="180">
        <v>117473</v>
      </c>
      <c r="C438" s="179">
        <v>2204</v>
      </c>
      <c r="D438" s="180">
        <v>119229</v>
      </c>
      <c r="E438" s="179">
        <v>2235</v>
      </c>
      <c r="F438" s="180">
        <v>120962</v>
      </c>
      <c r="G438" s="179">
        <v>2266</v>
      </c>
      <c r="H438" s="180">
        <v>122671</v>
      </c>
      <c r="I438" s="178">
        <v>2297</v>
      </c>
      <c r="J438" s="180">
        <v>124354</v>
      </c>
    </row>
    <row r="439" spans="1:10">
      <c r="A439" s="178">
        <v>2174</v>
      </c>
      <c r="B439" s="180">
        <v>117530</v>
      </c>
      <c r="C439" s="179">
        <v>2205</v>
      </c>
      <c r="D439" s="180">
        <v>119286</v>
      </c>
      <c r="E439" s="179">
        <v>2236</v>
      </c>
      <c r="F439" s="180">
        <v>121018</v>
      </c>
      <c r="G439" s="179">
        <v>2267</v>
      </c>
      <c r="H439" s="180">
        <v>122726</v>
      </c>
      <c r="I439" s="178">
        <v>2298</v>
      </c>
      <c r="J439" s="180">
        <v>124408</v>
      </c>
    </row>
    <row r="440" spans="1:10">
      <c r="A440" s="178">
        <v>2175</v>
      </c>
      <c r="B440" s="180">
        <v>117587</v>
      </c>
      <c r="C440" s="179">
        <v>2206</v>
      </c>
      <c r="D440" s="180">
        <v>119342</v>
      </c>
      <c r="E440" s="179">
        <v>2237</v>
      </c>
      <c r="F440" s="180">
        <v>121073</v>
      </c>
      <c r="G440" s="179">
        <v>2268</v>
      </c>
      <c r="H440" s="180">
        <v>122780</v>
      </c>
      <c r="I440" s="178">
        <v>2299</v>
      </c>
      <c r="J440" s="180">
        <v>124462</v>
      </c>
    </row>
    <row r="441" spans="1:10">
      <c r="A441" s="178">
        <v>2176</v>
      </c>
      <c r="B441" s="180">
        <v>117644</v>
      </c>
      <c r="C441" s="179">
        <v>2207</v>
      </c>
      <c r="D441" s="180">
        <v>119398</v>
      </c>
      <c r="E441" s="179">
        <v>2238</v>
      </c>
      <c r="F441" s="180">
        <v>121129</v>
      </c>
      <c r="G441" s="179">
        <v>2269</v>
      </c>
      <c r="H441" s="180">
        <v>122835</v>
      </c>
      <c r="I441" s="178">
        <v>2300</v>
      </c>
      <c r="J441" s="180">
        <v>124516</v>
      </c>
    </row>
    <row r="442" spans="1:10">
      <c r="A442" s="178">
        <v>2177</v>
      </c>
      <c r="B442" s="180">
        <v>117701</v>
      </c>
      <c r="C442" s="179">
        <v>2208</v>
      </c>
      <c r="D442" s="180">
        <v>119454</v>
      </c>
      <c r="E442" s="179">
        <v>2239</v>
      </c>
      <c r="F442" s="180">
        <v>121184</v>
      </c>
      <c r="G442" s="179">
        <v>2270</v>
      </c>
      <c r="H442" s="180">
        <v>122890</v>
      </c>
      <c r="I442" s="178">
        <v>2301</v>
      </c>
      <c r="J442" s="180">
        <v>124570</v>
      </c>
    </row>
    <row r="443" spans="1:10">
      <c r="A443" s="178">
        <v>2178</v>
      </c>
      <c r="B443" s="180">
        <v>117758</v>
      </c>
      <c r="C443" s="179">
        <v>2209</v>
      </c>
      <c r="D443" s="180">
        <v>119510</v>
      </c>
      <c r="E443" s="179">
        <v>2240</v>
      </c>
      <c r="F443" s="180">
        <v>121240</v>
      </c>
      <c r="G443" s="179">
        <v>2271</v>
      </c>
      <c r="H443" s="180">
        <v>122944</v>
      </c>
      <c r="I443" s="178">
        <v>2302</v>
      </c>
      <c r="J443" s="180">
        <v>124623</v>
      </c>
    </row>
    <row r="444" spans="1:10">
      <c r="A444" s="178">
        <v>2179</v>
      </c>
      <c r="B444" s="180">
        <v>117815</v>
      </c>
      <c r="C444" s="179">
        <v>2210</v>
      </c>
      <c r="D444" s="180">
        <v>119567</v>
      </c>
      <c r="E444" s="179">
        <v>2241</v>
      </c>
      <c r="F444" s="180">
        <v>121295</v>
      </c>
      <c r="G444" s="179">
        <v>2272</v>
      </c>
      <c r="H444" s="180">
        <v>122999</v>
      </c>
      <c r="I444" s="178">
        <v>2303</v>
      </c>
      <c r="J444" s="180">
        <v>124677</v>
      </c>
    </row>
    <row r="445" spans="1:10">
      <c r="A445" s="178">
        <v>2180</v>
      </c>
      <c r="B445" s="180">
        <v>117872</v>
      </c>
      <c r="C445" s="179">
        <v>2211</v>
      </c>
      <c r="D445" s="180">
        <v>119623</v>
      </c>
      <c r="E445" s="179">
        <v>2242</v>
      </c>
      <c r="F445" s="180">
        <v>121350</v>
      </c>
      <c r="G445" s="179">
        <v>2273</v>
      </c>
      <c r="H445" s="180">
        <v>123053</v>
      </c>
      <c r="I445" s="178">
        <v>2304</v>
      </c>
      <c r="J445" s="180">
        <v>124731</v>
      </c>
    </row>
    <row r="446" spans="1:10">
      <c r="A446" s="178">
        <v>2181</v>
      </c>
      <c r="B446" s="180">
        <v>117929</v>
      </c>
      <c r="C446" s="179">
        <v>2212</v>
      </c>
      <c r="D446" s="180">
        <v>119679</v>
      </c>
      <c r="E446" s="179">
        <v>2243</v>
      </c>
      <c r="F446" s="180">
        <v>121406</v>
      </c>
      <c r="G446" s="179">
        <v>2274</v>
      </c>
      <c r="H446" s="180">
        <v>123108</v>
      </c>
      <c r="I446" s="178">
        <v>2305</v>
      </c>
      <c r="J446" s="180">
        <v>124784</v>
      </c>
    </row>
    <row r="447" spans="1:10">
      <c r="A447" s="178">
        <v>2182</v>
      </c>
      <c r="B447" s="180">
        <v>117986</v>
      </c>
      <c r="C447" s="179">
        <v>2213</v>
      </c>
      <c r="D447" s="180">
        <v>119735</v>
      </c>
      <c r="E447" s="179">
        <v>2244</v>
      </c>
      <c r="F447" s="180">
        <v>121461</v>
      </c>
      <c r="G447" s="179">
        <v>2275</v>
      </c>
      <c r="H447" s="180">
        <v>123162</v>
      </c>
      <c r="I447" s="178">
        <v>2306</v>
      </c>
      <c r="J447" s="180">
        <v>124838</v>
      </c>
    </row>
    <row r="448" spans="1:10">
      <c r="A448" s="178">
        <v>2183</v>
      </c>
      <c r="B448" s="180">
        <v>118042</v>
      </c>
      <c r="C448" s="179">
        <v>2214</v>
      </c>
      <c r="D448" s="180">
        <v>119791</v>
      </c>
      <c r="E448" s="179">
        <v>2245</v>
      </c>
      <c r="F448" s="180">
        <v>121516</v>
      </c>
      <c r="G448" s="179">
        <v>2276</v>
      </c>
      <c r="H448" s="180">
        <v>123217</v>
      </c>
      <c r="I448" s="178">
        <v>2307</v>
      </c>
      <c r="J448" s="180">
        <v>124892</v>
      </c>
    </row>
    <row r="449" spans="1:10">
      <c r="A449" s="178">
        <v>2184</v>
      </c>
      <c r="B449" s="180">
        <v>118099</v>
      </c>
      <c r="C449" s="179">
        <v>2215</v>
      </c>
      <c r="D449" s="180">
        <v>119847</v>
      </c>
      <c r="E449" s="179">
        <v>2246</v>
      </c>
      <c r="F449" s="180">
        <v>121571</v>
      </c>
      <c r="G449" s="179">
        <v>2277</v>
      </c>
      <c r="H449" s="180">
        <v>123271</v>
      </c>
      <c r="I449" s="178">
        <v>2308</v>
      </c>
      <c r="J449" s="180">
        <v>124945</v>
      </c>
    </row>
    <row r="450" spans="1:10">
      <c r="A450" s="178">
        <v>2185</v>
      </c>
      <c r="B450" s="180">
        <v>118156</v>
      </c>
      <c r="C450" s="179">
        <v>2216</v>
      </c>
      <c r="D450" s="180">
        <v>119903</v>
      </c>
      <c r="E450" s="179">
        <v>2247</v>
      </c>
      <c r="F450" s="180">
        <v>121627</v>
      </c>
      <c r="G450" s="179">
        <v>2278</v>
      </c>
      <c r="H450" s="180">
        <v>123326</v>
      </c>
      <c r="I450" s="178">
        <v>2309</v>
      </c>
      <c r="J450" s="180">
        <v>124999</v>
      </c>
    </row>
    <row r="451" spans="1:10">
      <c r="A451" s="178">
        <v>2186</v>
      </c>
      <c r="B451" s="180">
        <v>118212</v>
      </c>
      <c r="C451" s="179">
        <v>2217</v>
      </c>
      <c r="D451" s="180">
        <v>119959</v>
      </c>
      <c r="E451" s="179">
        <v>2248</v>
      </c>
      <c r="F451" s="180">
        <v>121682</v>
      </c>
      <c r="G451" s="179">
        <v>2279</v>
      </c>
      <c r="H451" s="180">
        <v>123380</v>
      </c>
      <c r="I451" s="178">
        <v>2310</v>
      </c>
      <c r="J451" s="180">
        <v>125052</v>
      </c>
    </row>
    <row r="452" spans="1:10">
      <c r="A452" s="178">
        <v>2187</v>
      </c>
      <c r="B452" s="180">
        <v>118269</v>
      </c>
      <c r="C452" s="179">
        <v>2218</v>
      </c>
      <c r="D452" s="180">
        <v>120015</v>
      </c>
      <c r="E452" s="179">
        <v>2249</v>
      </c>
      <c r="F452" s="180">
        <v>121737</v>
      </c>
      <c r="G452" s="179">
        <v>2280</v>
      </c>
      <c r="H452" s="180">
        <v>123434</v>
      </c>
      <c r="I452" s="178">
        <v>2311</v>
      </c>
      <c r="J452" s="180">
        <v>125106</v>
      </c>
    </row>
    <row r="453" spans="1:10">
      <c r="A453" s="178">
        <v>2188</v>
      </c>
      <c r="B453" s="180">
        <v>118326</v>
      </c>
      <c r="C453" s="179">
        <v>2219</v>
      </c>
      <c r="D453" s="180">
        <v>120071</v>
      </c>
      <c r="E453" s="179">
        <v>2250</v>
      </c>
      <c r="F453" s="180">
        <v>121792</v>
      </c>
      <c r="G453" s="179">
        <v>2281</v>
      </c>
      <c r="H453" s="180">
        <v>123489</v>
      </c>
      <c r="I453" s="178">
        <v>2312</v>
      </c>
      <c r="J453" s="180">
        <v>125159</v>
      </c>
    </row>
    <row r="454" spans="1:10">
      <c r="A454" s="178">
        <v>2189</v>
      </c>
      <c r="B454" s="180">
        <v>118382</v>
      </c>
      <c r="C454" s="179">
        <v>2220</v>
      </c>
      <c r="D454" s="180">
        <v>120127</v>
      </c>
      <c r="E454" s="179">
        <v>2251</v>
      </c>
      <c r="F454" s="180">
        <v>121847</v>
      </c>
      <c r="G454" s="179">
        <v>2282</v>
      </c>
      <c r="H454" s="180">
        <v>123543</v>
      </c>
      <c r="I454" s="178">
        <v>2313</v>
      </c>
      <c r="J454" s="180">
        <v>125213</v>
      </c>
    </row>
    <row r="455" spans="1:10">
      <c r="A455" s="178">
        <v>2190</v>
      </c>
      <c r="B455" s="180">
        <v>118439</v>
      </c>
      <c r="C455" s="179">
        <v>2221</v>
      </c>
      <c r="D455" s="180">
        <v>120183</v>
      </c>
      <c r="E455" s="179">
        <v>2252</v>
      </c>
      <c r="F455" s="180">
        <v>121902</v>
      </c>
      <c r="G455" s="179">
        <v>2283</v>
      </c>
      <c r="H455" s="180">
        <v>123597</v>
      </c>
      <c r="I455" s="178">
        <v>2314</v>
      </c>
      <c r="J455" s="180">
        <v>125266</v>
      </c>
    </row>
    <row r="456" spans="1:10">
      <c r="A456" s="178">
        <v>2191</v>
      </c>
      <c r="B456" s="180">
        <v>118496</v>
      </c>
      <c r="C456" s="179">
        <v>2222</v>
      </c>
      <c r="D456" s="180">
        <v>120238</v>
      </c>
      <c r="E456" s="179">
        <v>2253</v>
      </c>
      <c r="F456" s="180">
        <v>121957</v>
      </c>
      <c r="G456" s="179">
        <v>2284</v>
      </c>
      <c r="H456" s="180">
        <v>123652</v>
      </c>
      <c r="I456" s="178">
        <v>2315</v>
      </c>
      <c r="J456" s="180">
        <v>125319</v>
      </c>
    </row>
    <row r="457" spans="1:10">
      <c r="A457" s="178">
        <v>2192</v>
      </c>
      <c r="B457" s="180">
        <v>118552</v>
      </c>
      <c r="C457" s="179">
        <v>2223</v>
      </c>
      <c r="D457" s="180">
        <v>120294</v>
      </c>
      <c r="E457" s="179">
        <v>2254</v>
      </c>
      <c r="F457" s="180">
        <v>122013</v>
      </c>
      <c r="G457" s="179">
        <v>2285</v>
      </c>
      <c r="H457" s="180">
        <v>123706</v>
      </c>
      <c r="I457" s="178">
        <v>2316</v>
      </c>
      <c r="J457" s="180">
        <v>125373</v>
      </c>
    </row>
    <row r="458" spans="1:10">
      <c r="A458" s="178">
        <v>2193</v>
      </c>
      <c r="B458" s="180">
        <v>118609</v>
      </c>
      <c r="C458" s="179">
        <v>2224</v>
      </c>
      <c r="D458" s="180">
        <v>120350</v>
      </c>
      <c r="E458" s="179">
        <v>2255</v>
      </c>
      <c r="F458" s="180">
        <v>122068</v>
      </c>
      <c r="G458" s="179">
        <v>2286</v>
      </c>
      <c r="H458" s="180">
        <v>123760</v>
      </c>
      <c r="I458" s="178">
        <v>2317</v>
      </c>
      <c r="J458" s="180">
        <v>125426</v>
      </c>
    </row>
    <row r="459" spans="1:10">
      <c r="A459" s="178">
        <v>2194</v>
      </c>
      <c r="B459" s="180">
        <v>118665</v>
      </c>
      <c r="C459" s="179">
        <v>2225</v>
      </c>
      <c r="D459" s="180">
        <v>120406</v>
      </c>
      <c r="E459" s="179">
        <v>2256</v>
      </c>
      <c r="F459" s="180">
        <v>122123</v>
      </c>
      <c r="G459" s="179">
        <v>2287</v>
      </c>
      <c r="H459" s="180">
        <v>123814</v>
      </c>
      <c r="I459" s="178">
        <v>2318</v>
      </c>
      <c r="J459" s="180">
        <v>125479</v>
      </c>
    </row>
    <row r="460" spans="1:10">
      <c r="A460" s="178">
        <v>2195</v>
      </c>
      <c r="B460" s="180">
        <v>118722</v>
      </c>
      <c r="C460" s="179">
        <v>2226</v>
      </c>
      <c r="D460" s="180">
        <v>120462</v>
      </c>
      <c r="E460" s="179">
        <v>2257</v>
      </c>
      <c r="F460" s="180">
        <v>122178</v>
      </c>
      <c r="G460" s="179">
        <v>2288</v>
      </c>
      <c r="H460" s="180">
        <v>123868</v>
      </c>
      <c r="I460" s="178">
        <v>2319</v>
      </c>
      <c r="J460" s="180">
        <v>125533</v>
      </c>
    </row>
    <row r="461" spans="1:10">
      <c r="A461" s="178">
        <v>2196</v>
      </c>
      <c r="B461" s="180">
        <v>118778</v>
      </c>
      <c r="C461" s="179">
        <v>2227</v>
      </c>
      <c r="D461" s="180">
        <v>120517</v>
      </c>
      <c r="E461" s="179">
        <v>2258</v>
      </c>
      <c r="F461" s="180">
        <v>122232</v>
      </c>
      <c r="G461" s="179">
        <v>2289</v>
      </c>
      <c r="H461" s="180">
        <v>123922</v>
      </c>
      <c r="I461" s="178">
        <v>2320</v>
      </c>
      <c r="J461" s="180">
        <v>125586</v>
      </c>
    </row>
    <row r="462" spans="1:10">
      <c r="A462" s="178">
        <v>2197</v>
      </c>
      <c r="B462" s="180">
        <v>118835</v>
      </c>
      <c r="C462" s="179">
        <v>2228</v>
      </c>
      <c r="D462" s="180">
        <v>120573</v>
      </c>
      <c r="E462" s="179">
        <v>2259</v>
      </c>
      <c r="F462" s="180">
        <v>122287</v>
      </c>
      <c r="G462" s="179">
        <v>2290</v>
      </c>
      <c r="H462" s="180">
        <v>123977</v>
      </c>
      <c r="I462" s="178">
        <v>2321</v>
      </c>
      <c r="J462" s="180">
        <v>125639</v>
      </c>
    </row>
    <row r="463" spans="1:10">
      <c r="A463" s="178">
        <v>2198</v>
      </c>
      <c r="B463" s="180">
        <v>118891</v>
      </c>
      <c r="C463" s="179">
        <v>2229</v>
      </c>
      <c r="D463" s="180">
        <v>120629</v>
      </c>
      <c r="E463" s="179">
        <v>2260</v>
      </c>
      <c r="F463" s="180">
        <v>122342</v>
      </c>
      <c r="G463" s="179">
        <v>2291</v>
      </c>
      <c r="H463" s="180">
        <v>124031</v>
      </c>
      <c r="I463" s="178">
        <v>2322</v>
      </c>
      <c r="J463" s="180">
        <v>125692</v>
      </c>
    </row>
    <row r="464" spans="1:10">
      <c r="A464" s="178">
        <v>2199</v>
      </c>
      <c r="B464" s="180">
        <v>118948</v>
      </c>
      <c r="C464" s="179">
        <v>2230</v>
      </c>
      <c r="D464" s="180">
        <v>120684</v>
      </c>
      <c r="E464" s="179">
        <v>2261</v>
      </c>
      <c r="F464" s="180">
        <v>122397</v>
      </c>
      <c r="G464" s="179">
        <v>2292</v>
      </c>
      <c r="H464" s="180">
        <v>124085</v>
      </c>
      <c r="I464" s="178">
        <v>2323</v>
      </c>
      <c r="J464" s="180">
        <v>125745</v>
      </c>
    </row>
    <row r="465" spans="1:10">
      <c r="A465" s="178">
        <v>2200</v>
      </c>
      <c r="B465" s="180">
        <v>119004</v>
      </c>
      <c r="C465" s="179">
        <v>2231</v>
      </c>
      <c r="D465" s="180">
        <v>120740</v>
      </c>
      <c r="E465" s="179">
        <v>2262</v>
      </c>
      <c r="F465" s="180">
        <v>122452</v>
      </c>
      <c r="G465" s="179">
        <v>2293</v>
      </c>
      <c r="H465" s="180">
        <v>124139</v>
      </c>
      <c r="I465" s="178">
        <v>2324</v>
      </c>
      <c r="J465" s="180">
        <v>125798</v>
      </c>
    </row>
    <row r="466" spans="1:10">
      <c r="A466" s="178">
        <v>2325</v>
      </c>
      <c r="B466" s="180">
        <v>125852</v>
      </c>
      <c r="C466" s="179">
        <v>2356</v>
      </c>
      <c r="D466" s="180">
        <v>127482</v>
      </c>
      <c r="E466" s="179">
        <v>2387</v>
      </c>
      <c r="F466" s="180">
        <v>129083</v>
      </c>
      <c r="G466" s="179">
        <v>2418</v>
      </c>
      <c r="H466" s="180">
        <v>130652</v>
      </c>
      <c r="I466" s="178">
        <v>2449</v>
      </c>
      <c r="J466" s="180">
        <v>132188</v>
      </c>
    </row>
    <row r="467" spans="1:10">
      <c r="A467" s="178">
        <v>2326</v>
      </c>
      <c r="B467" s="180">
        <v>125905</v>
      </c>
      <c r="C467" s="179">
        <v>2357</v>
      </c>
      <c r="D467" s="180">
        <v>127534</v>
      </c>
      <c r="E467" s="179">
        <v>2388</v>
      </c>
      <c r="F467" s="180">
        <v>129134</v>
      </c>
      <c r="G467" s="179">
        <v>2419</v>
      </c>
      <c r="H467" s="180">
        <v>130702</v>
      </c>
      <c r="I467" s="178">
        <v>2450</v>
      </c>
      <c r="J467" s="180">
        <v>132237</v>
      </c>
    </row>
    <row r="468" spans="1:10">
      <c r="A468" s="178">
        <v>2327</v>
      </c>
      <c r="B468" s="180">
        <v>125958</v>
      </c>
      <c r="C468" s="179">
        <v>2358</v>
      </c>
      <c r="D468" s="180">
        <v>127586</v>
      </c>
      <c r="E468" s="179">
        <v>2389</v>
      </c>
      <c r="F468" s="180">
        <v>129185</v>
      </c>
      <c r="G468" s="179">
        <v>2420</v>
      </c>
      <c r="H468" s="180">
        <v>130751</v>
      </c>
      <c r="I468" s="178">
        <v>2451</v>
      </c>
      <c r="J468" s="180">
        <v>132286</v>
      </c>
    </row>
    <row r="469" spans="1:10">
      <c r="A469" s="178">
        <v>2328</v>
      </c>
      <c r="B469" s="180">
        <v>126011</v>
      </c>
      <c r="C469" s="179">
        <v>2359</v>
      </c>
      <c r="D469" s="180">
        <v>127638</v>
      </c>
      <c r="E469" s="179">
        <v>2390</v>
      </c>
      <c r="F469" s="180">
        <v>129236</v>
      </c>
      <c r="G469" s="179">
        <v>2421</v>
      </c>
      <c r="H469" s="180">
        <v>130802</v>
      </c>
      <c r="I469" s="178">
        <v>2452</v>
      </c>
      <c r="J469" s="180">
        <v>132335</v>
      </c>
    </row>
    <row r="470" spans="1:10">
      <c r="A470" s="178">
        <v>2329</v>
      </c>
      <c r="B470" s="180">
        <v>126064</v>
      </c>
      <c r="C470" s="179">
        <v>2360</v>
      </c>
      <c r="D470" s="180">
        <v>127690</v>
      </c>
      <c r="E470" s="179">
        <v>2391</v>
      </c>
      <c r="F470" s="180">
        <v>129287</v>
      </c>
      <c r="G470" s="179">
        <v>2422</v>
      </c>
      <c r="H470" s="180">
        <v>130852</v>
      </c>
      <c r="I470" s="178">
        <v>2453</v>
      </c>
      <c r="J470" s="180">
        <v>132383</v>
      </c>
    </row>
    <row r="471" spans="1:10">
      <c r="A471" s="178">
        <v>2330</v>
      </c>
      <c r="B471" s="180">
        <v>126116</v>
      </c>
      <c r="C471" s="179">
        <v>2361</v>
      </c>
      <c r="D471" s="180">
        <v>127742</v>
      </c>
      <c r="E471" s="179">
        <v>2392</v>
      </c>
      <c r="F471" s="180">
        <v>129338</v>
      </c>
      <c r="G471" s="179">
        <v>2423</v>
      </c>
      <c r="H471" s="180">
        <v>130902</v>
      </c>
      <c r="I471" s="178">
        <v>2454</v>
      </c>
      <c r="J471" s="180">
        <v>132432</v>
      </c>
    </row>
    <row r="472" spans="1:10">
      <c r="A472" s="178">
        <v>2331</v>
      </c>
      <c r="B472" s="180">
        <v>126169</v>
      </c>
      <c r="C472" s="179">
        <v>2362</v>
      </c>
      <c r="D472" s="180">
        <v>127794</v>
      </c>
      <c r="E472" s="179">
        <v>2393</v>
      </c>
      <c r="F472" s="180">
        <v>129389</v>
      </c>
      <c r="G472" s="179">
        <v>2424</v>
      </c>
      <c r="H472" s="180">
        <v>130952</v>
      </c>
      <c r="I472" s="178">
        <v>2455</v>
      </c>
      <c r="J472" s="180">
        <v>132481</v>
      </c>
    </row>
    <row r="473" spans="1:10">
      <c r="A473" s="178">
        <v>2332</v>
      </c>
      <c r="B473" s="180">
        <v>126222</v>
      </c>
      <c r="C473" s="179">
        <v>2363</v>
      </c>
      <c r="D473" s="180">
        <v>127846</v>
      </c>
      <c r="E473" s="179">
        <v>2394</v>
      </c>
      <c r="F473" s="180">
        <v>129440</v>
      </c>
      <c r="G473" s="179">
        <v>2425</v>
      </c>
      <c r="H473" s="180">
        <v>131002</v>
      </c>
      <c r="I473" s="178">
        <v>2456</v>
      </c>
      <c r="J473" s="180">
        <v>132530</v>
      </c>
    </row>
    <row r="474" spans="1:10">
      <c r="A474" s="178">
        <v>2333</v>
      </c>
      <c r="B474" s="180">
        <v>126275</v>
      </c>
      <c r="C474" s="179">
        <v>2364</v>
      </c>
      <c r="D474" s="180">
        <v>127898</v>
      </c>
      <c r="E474" s="179">
        <v>2395</v>
      </c>
      <c r="F474" s="180">
        <v>129491</v>
      </c>
      <c r="G474" s="179">
        <v>2426</v>
      </c>
      <c r="H474" s="180">
        <v>131052</v>
      </c>
      <c r="I474" s="178">
        <v>2457</v>
      </c>
      <c r="J474" s="180">
        <v>132579</v>
      </c>
    </row>
    <row r="475" spans="1:10">
      <c r="A475" s="178">
        <v>2334</v>
      </c>
      <c r="B475" s="180">
        <v>126328</v>
      </c>
      <c r="C475" s="179">
        <v>2365</v>
      </c>
      <c r="D475" s="180">
        <v>127950</v>
      </c>
      <c r="E475" s="179">
        <v>2396</v>
      </c>
      <c r="F475" s="180">
        <v>129542</v>
      </c>
      <c r="G475" s="179">
        <v>2427</v>
      </c>
      <c r="H475" s="180">
        <v>131101</v>
      </c>
      <c r="I475" s="178">
        <v>2458</v>
      </c>
      <c r="J475" s="180">
        <v>132628</v>
      </c>
    </row>
    <row r="476" spans="1:10">
      <c r="A476" s="178">
        <v>2335</v>
      </c>
      <c r="B476" s="180">
        <v>126381</v>
      </c>
      <c r="C476" s="179">
        <v>2366</v>
      </c>
      <c r="D476" s="180">
        <v>128002</v>
      </c>
      <c r="E476" s="179">
        <v>2397</v>
      </c>
      <c r="F476" s="180">
        <v>129593</v>
      </c>
      <c r="G476" s="179">
        <v>2428</v>
      </c>
      <c r="H476" s="180">
        <v>131151</v>
      </c>
      <c r="I476" s="178">
        <v>2459</v>
      </c>
      <c r="J476" s="180">
        <v>132676</v>
      </c>
    </row>
    <row r="477" spans="1:10">
      <c r="A477" s="178">
        <v>2336</v>
      </c>
      <c r="B477" s="180">
        <v>126433</v>
      </c>
      <c r="C477" s="179">
        <v>2367</v>
      </c>
      <c r="D477" s="180">
        <v>128054</v>
      </c>
      <c r="E477" s="179">
        <v>2398</v>
      </c>
      <c r="F477" s="180">
        <v>129643</v>
      </c>
      <c r="G477" s="179">
        <v>2429</v>
      </c>
      <c r="H477" s="180">
        <v>131201</v>
      </c>
      <c r="I477" s="178">
        <v>2460</v>
      </c>
      <c r="J477" s="180">
        <v>132724</v>
      </c>
    </row>
    <row r="478" spans="1:10">
      <c r="A478" s="178">
        <v>2337</v>
      </c>
      <c r="B478" s="180">
        <v>126486</v>
      </c>
      <c r="C478" s="179">
        <v>2368</v>
      </c>
      <c r="D478" s="180">
        <v>128105</v>
      </c>
      <c r="E478" s="179">
        <v>2399</v>
      </c>
      <c r="F478" s="180">
        <v>129694</v>
      </c>
      <c r="G478" s="179">
        <v>2430</v>
      </c>
      <c r="H478" s="180">
        <v>131251</v>
      </c>
      <c r="I478" s="178">
        <v>2461</v>
      </c>
      <c r="J478" s="180">
        <v>132773</v>
      </c>
    </row>
    <row r="479" spans="1:10">
      <c r="A479" s="178">
        <v>2338</v>
      </c>
      <c r="B479" s="180">
        <v>126539</v>
      </c>
      <c r="C479" s="179">
        <v>2369</v>
      </c>
      <c r="D479" s="180">
        <v>128157</v>
      </c>
      <c r="E479" s="179">
        <v>2400</v>
      </c>
      <c r="F479" s="180">
        <v>129745</v>
      </c>
      <c r="G479" s="179">
        <v>2431</v>
      </c>
      <c r="H479" s="180">
        <v>131300</v>
      </c>
      <c r="I479" s="178">
        <v>2462</v>
      </c>
      <c r="J479" s="180">
        <v>132822</v>
      </c>
    </row>
    <row r="480" spans="1:10">
      <c r="A480" s="178">
        <v>2339</v>
      </c>
      <c r="B480" s="180">
        <v>126592</v>
      </c>
      <c r="C480" s="179">
        <v>2370</v>
      </c>
      <c r="D480" s="180">
        <v>128209</v>
      </c>
      <c r="E480" s="179">
        <v>2401</v>
      </c>
      <c r="F480" s="180">
        <v>129796</v>
      </c>
      <c r="G480" s="179">
        <v>2432</v>
      </c>
      <c r="H480" s="180">
        <v>131350</v>
      </c>
      <c r="I480" s="178">
        <v>2463</v>
      </c>
      <c r="J480" s="180">
        <v>132870</v>
      </c>
    </row>
    <row r="481" spans="1:10">
      <c r="A481" s="178">
        <v>2340</v>
      </c>
      <c r="B481" s="180">
        <v>126644</v>
      </c>
      <c r="C481" s="179">
        <v>2371</v>
      </c>
      <c r="D481" s="180">
        <v>128261</v>
      </c>
      <c r="E481" s="179">
        <v>2402</v>
      </c>
      <c r="F481" s="180">
        <v>129846</v>
      </c>
      <c r="G481" s="179">
        <v>2433</v>
      </c>
      <c r="H481" s="180">
        <v>131399</v>
      </c>
      <c r="I481" s="178">
        <v>2464</v>
      </c>
      <c r="J481" s="180">
        <v>132918</v>
      </c>
    </row>
    <row r="482" spans="1:10">
      <c r="A482" s="178">
        <v>2341</v>
      </c>
      <c r="B482" s="180">
        <v>126697</v>
      </c>
      <c r="C482" s="179">
        <v>2372</v>
      </c>
      <c r="D482" s="180">
        <v>128312</v>
      </c>
      <c r="E482" s="179">
        <v>2403</v>
      </c>
      <c r="F482" s="180">
        <v>129897</v>
      </c>
      <c r="G482" s="179">
        <v>2434</v>
      </c>
      <c r="H482" s="180">
        <v>131449</v>
      </c>
      <c r="I482" s="178">
        <v>2465</v>
      </c>
      <c r="J482" s="180">
        <v>132967</v>
      </c>
    </row>
    <row r="483" spans="1:10">
      <c r="A483" s="178">
        <v>2342</v>
      </c>
      <c r="B483" s="180">
        <v>126749</v>
      </c>
      <c r="C483" s="179">
        <v>2373</v>
      </c>
      <c r="D483" s="180">
        <v>128364</v>
      </c>
      <c r="E483" s="179">
        <v>2404</v>
      </c>
      <c r="F483" s="180">
        <v>129947</v>
      </c>
      <c r="G483" s="179">
        <v>2435</v>
      </c>
      <c r="H483" s="180">
        <v>131498</v>
      </c>
      <c r="I483" s="178">
        <v>2466</v>
      </c>
      <c r="J483" s="180">
        <v>133015</v>
      </c>
    </row>
    <row r="484" spans="1:10">
      <c r="A484" s="178">
        <v>2343</v>
      </c>
      <c r="B484" s="180">
        <v>126802</v>
      </c>
      <c r="C484" s="179">
        <v>2374</v>
      </c>
      <c r="D484" s="180">
        <v>128415</v>
      </c>
      <c r="E484" s="179">
        <v>2405</v>
      </c>
      <c r="F484" s="180">
        <v>129998</v>
      </c>
      <c r="G484" s="179">
        <v>2436</v>
      </c>
      <c r="H484" s="180">
        <v>131548</v>
      </c>
      <c r="I484" s="178">
        <v>2467</v>
      </c>
      <c r="J484" s="180">
        <v>133064</v>
      </c>
    </row>
    <row r="485" spans="1:10">
      <c r="A485" s="178">
        <v>2344</v>
      </c>
      <c r="B485" s="180">
        <v>126854</v>
      </c>
      <c r="C485" s="179">
        <v>2375</v>
      </c>
      <c r="D485" s="180">
        <v>128467</v>
      </c>
      <c r="E485" s="179">
        <v>2406</v>
      </c>
      <c r="F485" s="180">
        <v>130048</v>
      </c>
      <c r="G485" s="179">
        <v>2437</v>
      </c>
      <c r="H485" s="180">
        <v>131597</v>
      </c>
      <c r="I485" s="178">
        <v>2468</v>
      </c>
      <c r="J485" s="180">
        <v>133112</v>
      </c>
    </row>
    <row r="486" spans="1:10">
      <c r="A486" s="178">
        <v>2345</v>
      </c>
      <c r="B486" s="180">
        <v>126907</v>
      </c>
      <c r="C486" s="179">
        <v>2376</v>
      </c>
      <c r="D486" s="180">
        <v>128518</v>
      </c>
      <c r="E486" s="179">
        <v>2407</v>
      </c>
      <c r="F486" s="180">
        <v>130099</v>
      </c>
      <c r="G486" s="179">
        <v>2438</v>
      </c>
      <c r="H486" s="180">
        <v>131647</v>
      </c>
      <c r="I486" s="178">
        <v>2469</v>
      </c>
      <c r="J486" s="180">
        <v>133160</v>
      </c>
    </row>
    <row r="487" spans="1:10">
      <c r="A487" s="178">
        <v>2346</v>
      </c>
      <c r="B487" s="180">
        <v>126959</v>
      </c>
      <c r="C487" s="179">
        <v>2377</v>
      </c>
      <c r="D487" s="180">
        <v>128570</v>
      </c>
      <c r="E487" s="179">
        <v>2408</v>
      </c>
      <c r="F487" s="180">
        <v>130149</v>
      </c>
      <c r="G487" s="179">
        <v>2439</v>
      </c>
      <c r="H487" s="180">
        <v>131696</v>
      </c>
      <c r="I487" s="178">
        <v>2470</v>
      </c>
      <c r="J487" s="180">
        <v>133208</v>
      </c>
    </row>
    <row r="488" spans="1:10">
      <c r="A488" s="178">
        <v>2347</v>
      </c>
      <c r="B488" s="180">
        <v>127012</v>
      </c>
      <c r="C488" s="179">
        <v>2378</v>
      </c>
      <c r="D488" s="180">
        <v>128621</v>
      </c>
      <c r="E488" s="179">
        <v>2409</v>
      </c>
      <c r="F488" s="180">
        <v>130200</v>
      </c>
      <c r="G488" s="179">
        <v>2440</v>
      </c>
      <c r="H488" s="180">
        <v>131745</v>
      </c>
      <c r="I488" s="178">
        <v>2471</v>
      </c>
      <c r="J488" s="180">
        <v>133257</v>
      </c>
    </row>
    <row r="489" spans="1:10">
      <c r="A489" s="178">
        <v>2348</v>
      </c>
      <c r="B489" s="180">
        <v>127064</v>
      </c>
      <c r="C489" s="179">
        <v>2379</v>
      </c>
      <c r="D489" s="180">
        <v>128673</v>
      </c>
      <c r="E489" s="179">
        <v>2410</v>
      </c>
      <c r="F489" s="180">
        <v>130250</v>
      </c>
      <c r="G489" s="179">
        <v>2441</v>
      </c>
      <c r="H489" s="180">
        <v>131795</v>
      </c>
      <c r="I489" s="178">
        <v>2472</v>
      </c>
      <c r="J489" s="180">
        <v>133305</v>
      </c>
    </row>
    <row r="490" spans="1:10">
      <c r="A490" s="178">
        <v>2349</v>
      </c>
      <c r="B490" s="180">
        <v>127116</v>
      </c>
      <c r="C490" s="179">
        <v>2380</v>
      </c>
      <c r="D490" s="180">
        <v>128724</v>
      </c>
      <c r="E490" s="179">
        <v>2411</v>
      </c>
      <c r="F490" s="180">
        <v>130301</v>
      </c>
      <c r="G490" s="179">
        <v>2442</v>
      </c>
      <c r="H490" s="180">
        <v>131844</v>
      </c>
      <c r="I490" s="178">
        <v>2473</v>
      </c>
      <c r="J490" s="180">
        <v>133353</v>
      </c>
    </row>
    <row r="491" spans="1:10">
      <c r="A491" s="178">
        <v>2350</v>
      </c>
      <c r="B491" s="180">
        <v>127169</v>
      </c>
      <c r="C491" s="179">
        <v>2381</v>
      </c>
      <c r="D491" s="180">
        <v>128775</v>
      </c>
      <c r="E491" s="179">
        <v>2412</v>
      </c>
      <c r="F491" s="180">
        <v>130351</v>
      </c>
      <c r="G491" s="179">
        <v>2443</v>
      </c>
      <c r="H491" s="180">
        <v>131893</v>
      </c>
      <c r="I491" s="178">
        <v>2474</v>
      </c>
      <c r="J491" s="180">
        <v>133401</v>
      </c>
    </row>
    <row r="492" spans="1:10">
      <c r="A492" s="178">
        <v>2351</v>
      </c>
      <c r="B492" s="180">
        <v>127221</v>
      </c>
      <c r="C492" s="179">
        <v>2382</v>
      </c>
      <c r="D492" s="180">
        <v>128827</v>
      </c>
      <c r="E492" s="179">
        <v>2413</v>
      </c>
      <c r="F492" s="180">
        <v>130401</v>
      </c>
      <c r="G492" s="179">
        <v>2444</v>
      </c>
      <c r="H492" s="180">
        <v>131942</v>
      </c>
      <c r="I492" s="178">
        <v>2475</v>
      </c>
      <c r="J492" s="180">
        <v>133449</v>
      </c>
    </row>
    <row r="493" spans="1:10">
      <c r="A493" s="178">
        <v>2352</v>
      </c>
      <c r="B493" s="180">
        <v>127273</v>
      </c>
      <c r="C493" s="179">
        <v>2383</v>
      </c>
      <c r="D493" s="180">
        <v>128878</v>
      </c>
      <c r="E493" s="179">
        <v>2414</v>
      </c>
      <c r="F493" s="180">
        <v>130451</v>
      </c>
      <c r="G493" s="179">
        <v>2445</v>
      </c>
      <c r="H493" s="180">
        <v>131992</v>
      </c>
      <c r="I493" s="178">
        <v>2476</v>
      </c>
      <c r="J493" s="180">
        <v>133497</v>
      </c>
    </row>
    <row r="494" spans="1:10">
      <c r="A494" s="178">
        <v>2353</v>
      </c>
      <c r="B494" s="180">
        <v>127326</v>
      </c>
      <c r="C494" s="179">
        <v>2384</v>
      </c>
      <c r="D494" s="180">
        <v>128929</v>
      </c>
      <c r="E494" s="179">
        <v>2415</v>
      </c>
      <c r="F494" s="180">
        <v>130502</v>
      </c>
      <c r="G494" s="179">
        <v>2446</v>
      </c>
      <c r="H494" s="180">
        <v>132041</v>
      </c>
      <c r="I494" s="178">
        <v>2477</v>
      </c>
      <c r="J494" s="180">
        <v>133545</v>
      </c>
    </row>
    <row r="495" spans="1:10">
      <c r="A495" s="178">
        <v>2354</v>
      </c>
      <c r="B495" s="180">
        <v>127378</v>
      </c>
      <c r="C495" s="179">
        <v>2385</v>
      </c>
      <c r="D495" s="180">
        <v>128981</v>
      </c>
      <c r="E495" s="179">
        <v>2416</v>
      </c>
      <c r="F495" s="180">
        <v>130552</v>
      </c>
      <c r="G495" s="179">
        <v>2447</v>
      </c>
      <c r="H495" s="180">
        <v>132090</v>
      </c>
      <c r="I495" s="178">
        <v>2478</v>
      </c>
      <c r="J495" s="180">
        <v>133593</v>
      </c>
    </row>
    <row r="496" spans="1:10">
      <c r="A496" s="178">
        <v>2355</v>
      </c>
      <c r="B496" s="180">
        <v>127430</v>
      </c>
      <c r="C496" s="179">
        <v>2386</v>
      </c>
      <c r="D496" s="180">
        <v>129032</v>
      </c>
      <c r="E496" s="179">
        <v>2417</v>
      </c>
      <c r="F496" s="180">
        <v>130602</v>
      </c>
      <c r="G496" s="179">
        <v>2448</v>
      </c>
      <c r="H496" s="180">
        <v>132139</v>
      </c>
      <c r="I496" s="178">
        <v>2479</v>
      </c>
      <c r="J496" s="180">
        <v>133641</v>
      </c>
    </row>
    <row r="497" spans="1:10">
      <c r="A497" s="178">
        <v>2480</v>
      </c>
      <c r="B497" s="180">
        <v>133688</v>
      </c>
      <c r="C497" s="179">
        <v>2511</v>
      </c>
      <c r="D497" s="180">
        <v>135152</v>
      </c>
      <c r="E497" s="179">
        <v>2542</v>
      </c>
      <c r="F497" s="180">
        <v>136576</v>
      </c>
      <c r="G497" s="179">
        <v>2573</v>
      </c>
      <c r="H497" s="180">
        <v>137958</v>
      </c>
      <c r="I497" s="178">
        <v>2604</v>
      </c>
      <c r="J497" s="180">
        <v>139295</v>
      </c>
    </row>
    <row r="498" spans="1:10">
      <c r="A498" s="178">
        <v>2481</v>
      </c>
      <c r="B498" s="180">
        <v>133736</v>
      </c>
      <c r="C498" s="179">
        <v>2512</v>
      </c>
      <c r="D498" s="180">
        <v>135198</v>
      </c>
      <c r="E498" s="179">
        <v>2543</v>
      </c>
      <c r="F498" s="180">
        <v>136621</v>
      </c>
      <c r="G498" s="179">
        <v>2574</v>
      </c>
      <c r="H498" s="180">
        <v>138002</v>
      </c>
      <c r="I498" s="178">
        <v>2605</v>
      </c>
      <c r="J498" s="180">
        <v>139338</v>
      </c>
    </row>
    <row r="499" spans="1:10">
      <c r="A499" s="178">
        <v>2482</v>
      </c>
      <c r="B499" s="180">
        <v>133784</v>
      </c>
      <c r="C499" s="179">
        <v>2513</v>
      </c>
      <c r="D499" s="180">
        <v>135245</v>
      </c>
      <c r="E499" s="179">
        <v>2544</v>
      </c>
      <c r="F499" s="180">
        <v>136666</v>
      </c>
      <c r="G499" s="179">
        <v>2575</v>
      </c>
      <c r="H499" s="180">
        <v>138045</v>
      </c>
      <c r="I499" s="178">
        <v>2606</v>
      </c>
      <c r="J499" s="180">
        <v>139380</v>
      </c>
    </row>
    <row r="500" spans="1:10">
      <c r="A500" s="178">
        <v>2483</v>
      </c>
      <c r="B500" s="180">
        <v>133832</v>
      </c>
      <c r="C500" s="179">
        <v>2514</v>
      </c>
      <c r="D500" s="180">
        <v>135291</v>
      </c>
      <c r="E500" s="179">
        <v>2545</v>
      </c>
      <c r="F500" s="180">
        <v>136711</v>
      </c>
      <c r="G500" s="179">
        <v>2576</v>
      </c>
      <c r="H500" s="180">
        <v>138089</v>
      </c>
      <c r="I500" s="178">
        <v>2607</v>
      </c>
      <c r="J500" s="180">
        <v>139422</v>
      </c>
    </row>
    <row r="501" spans="1:10">
      <c r="A501" s="178">
        <v>2484</v>
      </c>
      <c r="B501" s="180">
        <v>133879</v>
      </c>
      <c r="C501" s="179">
        <v>2515</v>
      </c>
      <c r="D501" s="180">
        <v>135338</v>
      </c>
      <c r="E501" s="179">
        <v>2546</v>
      </c>
      <c r="F501" s="180">
        <v>136756</v>
      </c>
      <c r="G501" s="179">
        <v>2577</v>
      </c>
      <c r="H501" s="180">
        <v>138133</v>
      </c>
      <c r="I501" s="178">
        <v>2608</v>
      </c>
      <c r="J501" s="180">
        <v>139465</v>
      </c>
    </row>
    <row r="502" spans="1:10">
      <c r="A502" s="178">
        <v>2485</v>
      </c>
      <c r="B502" s="180">
        <v>133927</v>
      </c>
      <c r="C502" s="179">
        <v>2516</v>
      </c>
      <c r="D502" s="180">
        <v>135384</v>
      </c>
      <c r="E502" s="179">
        <v>2547</v>
      </c>
      <c r="F502" s="180">
        <v>136801</v>
      </c>
      <c r="G502" s="179">
        <v>2578</v>
      </c>
      <c r="H502" s="180">
        <v>138176</v>
      </c>
      <c r="I502" s="178">
        <v>2609</v>
      </c>
      <c r="J502" s="180">
        <v>139507</v>
      </c>
    </row>
    <row r="503" spans="1:10">
      <c r="A503" s="178">
        <v>2486</v>
      </c>
      <c r="B503" s="180">
        <v>133975</v>
      </c>
      <c r="C503" s="179">
        <v>2517</v>
      </c>
      <c r="D503" s="180">
        <v>135430</v>
      </c>
      <c r="E503" s="179">
        <v>2548</v>
      </c>
      <c r="F503" s="180">
        <v>136846</v>
      </c>
      <c r="G503" s="179">
        <v>2579</v>
      </c>
      <c r="H503" s="180">
        <v>13822</v>
      </c>
      <c r="I503" s="178">
        <v>2610</v>
      </c>
      <c r="J503" s="180">
        <v>139549</v>
      </c>
    </row>
    <row r="504" spans="1:10">
      <c r="A504" s="178">
        <v>2487</v>
      </c>
      <c r="B504" s="180">
        <v>134022</v>
      </c>
      <c r="C504" s="179">
        <v>2518</v>
      </c>
      <c r="D504" s="180">
        <v>135477</v>
      </c>
      <c r="E504" s="179">
        <v>2549</v>
      </c>
      <c r="F504" s="180">
        <v>136891</v>
      </c>
      <c r="G504" s="179">
        <v>2580</v>
      </c>
      <c r="H504" s="180">
        <v>138264</v>
      </c>
      <c r="I504" s="178">
        <v>2611</v>
      </c>
      <c r="J504" s="180">
        <v>139591</v>
      </c>
    </row>
    <row r="505" spans="1:10">
      <c r="A505" s="178">
        <v>2488</v>
      </c>
      <c r="B505" s="180">
        <v>134070</v>
      </c>
      <c r="C505" s="179">
        <v>2519</v>
      </c>
      <c r="D505" s="180">
        <v>135523</v>
      </c>
      <c r="E505" s="179">
        <v>2550</v>
      </c>
      <c r="F505" s="180">
        <v>136936</v>
      </c>
      <c r="G505" s="179">
        <v>2581</v>
      </c>
      <c r="H505" s="180">
        <v>138307</v>
      </c>
      <c r="I505" s="178">
        <v>2612</v>
      </c>
      <c r="J505" s="180">
        <v>139633</v>
      </c>
    </row>
    <row r="506" spans="1:10">
      <c r="A506" s="178">
        <v>2489</v>
      </c>
      <c r="B506" s="180">
        <v>134117</v>
      </c>
      <c r="C506" s="179">
        <v>2520</v>
      </c>
      <c r="D506" s="180">
        <v>135569</v>
      </c>
      <c r="E506" s="179">
        <v>2551</v>
      </c>
      <c r="F506" s="180">
        <v>136981</v>
      </c>
      <c r="G506" s="179">
        <v>2582</v>
      </c>
      <c r="H506" s="180">
        <v>138351</v>
      </c>
      <c r="I506" s="178">
        <v>2613</v>
      </c>
      <c r="J506" s="180">
        <v>139675</v>
      </c>
    </row>
    <row r="507" spans="1:10">
      <c r="A507" s="178">
        <v>2490</v>
      </c>
      <c r="B507" s="180">
        <v>134165</v>
      </c>
      <c r="C507" s="179">
        <v>2521</v>
      </c>
      <c r="D507" s="180">
        <v>135615</v>
      </c>
      <c r="E507" s="179">
        <v>2552</v>
      </c>
      <c r="F507" s="180">
        <v>137026</v>
      </c>
      <c r="G507" s="179">
        <v>2583</v>
      </c>
      <c r="H507" s="180">
        <v>138394</v>
      </c>
      <c r="I507" s="178">
        <v>2614</v>
      </c>
      <c r="J507" s="180">
        <v>139717</v>
      </c>
    </row>
    <row r="508" spans="1:10">
      <c r="A508" s="178">
        <v>2491</v>
      </c>
      <c r="B508" s="180">
        <v>134212</v>
      </c>
      <c r="C508" s="179">
        <v>2522</v>
      </c>
      <c r="D508" s="180">
        <v>135662</v>
      </c>
      <c r="E508" s="179">
        <v>2553</v>
      </c>
      <c r="F508" s="180">
        <v>137071</v>
      </c>
      <c r="G508" s="179">
        <v>2584</v>
      </c>
      <c r="H508" s="180">
        <v>138438</v>
      </c>
      <c r="I508" s="178">
        <v>2615</v>
      </c>
      <c r="J508" s="180">
        <v>139759</v>
      </c>
    </row>
    <row r="509" spans="1:10">
      <c r="A509" s="178">
        <v>2492</v>
      </c>
      <c r="B509" s="180">
        <v>134259</v>
      </c>
      <c r="C509" s="179">
        <v>2523</v>
      </c>
      <c r="D509" s="180">
        <v>135708</v>
      </c>
      <c r="E509" s="179">
        <v>2554</v>
      </c>
      <c r="F509" s="180">
        <v>137116</v>
      </c>
      <c r="G509" s="179">
        <v>2585</v>
      </c>
      <c r="H509" s="180">
        <v>138481</v>
      </c>
      <c r="I509" s="178">
        <v>2616</v>
      </c>
      <c r="J509" s="180">
        <v>139801</v>
      </c>
    </row>
    <row r="510" spans="1:10">
      <c r="A510" s="178">
        <v>2493</v>
      </c>
      <c r="B510" s="180">
        <v>134307</v>
      </c>
      <c r="C510" s="179">
        <v>2524</v>
      </c>
      <c r="D510" s="180">
        <v>135754</v>
      </c>
      <c r="E510" s="179">
        <v>2555</v>
      </c>
      <c r="F510" s="180">
        <v>13716</v>
      </c>
      <c r="G510" s="179">
        <v>2586</v>
      </c>
      <c r="H510" s="180">
        <v>138524</v>
      </c>
      <c r="I510" s="178">
        <v>2617</v>
      </c>
      <c r="J510" s="180">
        <v>139842</v>
      </c>
    </row>
    <row r="511" spans="1:10">
      <c r="A511" s="178">
        <v>2494</v>
      </c>
      <c r="B511" s="180">
        <v>134354</v>
      </c>
      <c r="C511" s="179">
        <v>2525</v>
      </c>
      <c r="D511" s="180">
        <v>135800</v>
      </c>
      <c r="E511" s="179">
        <v>2556</v>
      </c>
      <c r="F511" s="180">
        <v>137205</v>
      </c>
      <c r="G511" s="179">
        <v>2587</v>
      </c>
      <c r="H511" s="180">
        <v>138567</v>
      </c>
      <c r="I511" s="178">
        <v>2618</v>
      </c>
      <c r="J511" s="180">
        <v>139884</v>
      </c>
    </row>
    <row r="512" spans="1:10">
      <c r="A512" s="178">
        <v>2495</v>
      </c>
      <c r="B512" s="180">
        <v>134401</v>
      </c>
      <c r="C512" s="179">
        <v>2526</v>
      </c>
      <c r="D512" s="180">
        <v>135846</v>
      </c>
      <c r="E512" s="179">
        <v>2557</v>
      </c>
      <c r="F512" s="180">
        <v>13725</v>
      </c>
      <c r="G512" s="179">
        <v>2588</v>
      </c>
      <c r="H512" s="180">
        <v>138611</v>
      </c>
      <c r="I512" s="178">
        <v>2619</v>
      </c>
      <c r="J512" s="180">
        <v>139926</v>
      </c>
    </row>
    <row r="513" spans="1:10">
      <c r="A513" s="178">
        <v>2496</v>
      </c>
      <c r="B513" s="180">
        <v>134448</v>
      </c>
      <c r="C513" s="179">
        <v>2527</v>
      </c>
      <c r="D513" s="180">
        <v>135892</v>
      </c>
      <c r="E513" s="179">
        <v>2558</v>
      </c>
      <c r="F513" s="180">
        <v>137294</v>
      </c>
      <c r="G513" s="179">
        <v>2589</v>
      </c>
      <c r="H513" s="180">
        <v>138654</v>
      </c>
      <c r="I513" s="178">
        <v>2620</v>
      </c>
      <c r="J513" s="180">
        <v>139967</v>
      </c>
    </row>
    <row r="514" spans="1:10">
      <c r="A514" s="178">
        <v>2497</v>
      </c>
      <c r="B514" s="180">
        <v>134496</v>
      </c>
      <c r="C514" s="179">
        <v>2528</v>
      </c>
      <c r="D514" s="180">
        <v>135938</v>
      </c>
      <c r="E514" s="179">
        <v>2559</v>
      </c>
      <c r="F514" s="180">
        <v>137339</v>
      </c>
      <c r="G514" s="179">
        <v>2590</v>
      </c>
      <c r="H514" s="180">
        <v>138697</v>
      </c>
      <c r="I514" s="178">
        <v>2621</v>
      </c>
      <c r="J514" s="180">
        <v>140009</v>
      </c>
    </row>
    <row r="515" spans="1:10">
      <c r="A515" s="178">
        <v>2498</v>
      </c>
      <c r="B515" s="180">
        <v>134543</v>
      </c>
      <c r="C515" s="179">
        <v>2529</v>
      </c>
      <c r="D515" s="180">
        <v>135983</v>
      </c>
      <c r="E515" s="179">
        <v>2560</v>
      </c>
      <c r="F515" s="180">
        <v>137383</v>
      </c>
      <c r="G515" s="179">
        <v>2591</v>
      </c>
      <c r="H515" s="180">
        <v>138740</v>
      </c>
      <c r="I515" s="178">
        <v>2622</v>
      </c>
      <c r="J515" s="180">
        <v>140051</v>
      </c>
    </row>
    <row r="516" spans="1:10">
      <c r="A516" s="178">
        <v>2499</v>
      </c>
      <c r="B516" s="180">
        <v>134590</v>
      </c>
      <c r="C516" s="179">
        <v>2530</v>
      </c>
      <c r="D516" s="180">
        <v>136029</v>
      </c>
      <c r="E516" s="179">
        <v>2561</v>
      </c>
      <c r="F516" s="180">
        <v>137428</v>
      </c>
      <c r="G516" s="179">
        <v>2592</v>
      </c>
      <c r="H516" s="180">
        <v>138783</v>
      </c>
      <c r="I516" s="178">
        <v>2623</v>
      </c>
      <c r="J516" s="180">
        <v>140092</v>
      </c>
    </row>
    <row r="517" spans="1:10">
      <c r="A517" s="178">
        <v>2500</v>
      </c>
      <c r="B517" s="180">
        <v>134637</v>
      </c>
      <c r="C517" s="179">
        <v>2531</v>
      </c>
      <c r="D517" s="180">
        <v>136075</v>
      </c>
      <c r="E517" s="179">
        <v>2562</v>
      </c>
      <c r="F517" s="180">
        <v>137472</v>
      </c>
      <c r="G517" s="179">
        <v>2593</v>
      </c>
      <c r="H517" s="180">
        <v>138826</v>
      </c>
      <c r="I517" s="178">
        <v>2624</v>
      </c>
      <c r="J517" s="180">
        <v>140133</v>
      </c>
    </row>
    <row r="518" spans="1:10">
      <c r="A518" s="178">
        <v>2501</v>
      </c>
      <c r="B518" s="180">
        <v>134684</v>
      </c>
      <c r="C518" s="179">
        <v>2532</v>
      </c>
      <c r="D518" s="180">
        <v>136121</v>
      </c>
      <c r="E518" s="179">
        <v>2563</v>
      </c>
      <c r="F518" s="180">
        <v>137517</v>
      </c>
      <c r="G518" s="179">
        <v>2594</v>
      </c>
      <c r="H518" s="180">
        <v>138869</v>
      </c>
      <c r="I518" s="178">
        <v>2625</v>
      </c>
      <c r="J518" s="180">
        <v>140175</v>
      </c>
    </row>
    <row r="519" spans="1:10">
      <c r="A519" s="178">
        <v>2502</v>
      </c>
      <c r="B519" s="180">
        <v>134731</v>
      </c>
      <c r="C519" s="179">
        <v>2533</v>
      </c>
      <c r="D519" s="180">
        <v>136166</v>
      </c>
      <c r="E519" s="179">
        <v>2564</v>
      </c>
      <c r="F519" s="180">
        <v>137561</v>
      </c>
      <c r="G519" s="179">
        <v>2595</v>
      </c>
      <c r="H519" s="180">
        <v>138912</v>
      </c>
      <c r="I519" s="178">
        <v>2626</v>
      </c>
      <c r="J519" s="180">
        <v>140216</v>
      </c>
    </row>
    <row r="520" spans="1:10">
      <c r="A520" s="178">
        <v>2503</v>
      </c>
      <c r="B520" s="180">
        <v>134778</v>
      </c>
      <c r="C520" s="179">
        <v>2534</v>
      </c>
      <c r="D520" s="180">
        <v>136212</v>
      </c>
      <c r="E520" s="179">
        <v>2565</v>
      </c>
      <c r="F520" s="180">
        <v>137605</v>
      </c>
      <c r="G520" s="179">
        <v>2596</v>
      </c>
      <c r="H520" s="180">
        <v>138955</v>
      </c>
      <c r="I520" s="178">
        <v>2627</v>
      </c>
      <c r="J520" s="180">
        <v>140257</v>
      </c>
    </row>
    <row r="521" spans="1:10">
      <c r="A521" s="178">
        <v>2504</v>
      </c>
      <c r="B521" s="180">
        <v>134825</v>
      </c>
      <c r="C521" s="179">
        <v>2535</v>
      </c>
      <c r="D521" s="180">
        <v>136258</v>
      </c>
      <c r="E521" s="179">
        <v>2566</v>
      </c>
      <c r="F521" s="180">
        <v>137649</v>
      </c>
      <c r="G521" s="179">
        <v>2597</v>
      </c>
      <c r="H521" s="180">
        <v>138997</v>
      </c>
      <c r="I521" s="178">
        <v>2628</v>
      </c>
      <c r="J521" s="180">
        <v>140299</v>
      </c>
    </row>
    <row r="522" spans="1:10">
      <c r="A522" s="178">
        <v>2505</v>
      </c>
      <c r="B522" s="180">
        <v>134872</v>
      </c>
      <c r="C522" s="179">
        <v>2536</v>
      </c>
      <c r="D522" s="180">
        <v>136303</v>
      </c>
      <c r="E522" s="179">
        <v>2567</v>
      </c>
      <c r="F522" s="180">
        <v>137694</v>
      </c>
      <c r="G522" s="179">
        <v>2598</v>
      </c>
      <c r="H522" s="180">
        <v>139040</v>
      </c>
      <c r="I522" s="178">
        <v>2629</v>
      </c>
      <c r="J522" s="180">
        <v>140340</v>
      </c>
    </row>
    <row r="523" spans="1:10">
      <c r="A523" s="178">
        <v>2506</v>
      </c>
      <c r="B523" s="180">
        <v>134918</v>
      </c>
      <c r="C523" s="179">
        <v>2537</v>
      </c>
      <c r="D523" s="180">
        <v>136349</v>
      </c>
      <c r="E523" s="179">
        <v>2568</v>
      </c>
      <c r="F523" s="180">
        <v>137738</v>
      </c>
      <c r="G523" s="179">
        <v>2599</v>
      </c>
      <c r="H523" s="180">
        <v>139083</v>
      </c>
      <c r="I523" s="178">
        <v>2630</v>
      </c>
      <c r="J523" s="180">
        <v>140381</v>
      </c>
    </row>
    <row r="524" spans="1:10">
      <c r="A524" s="178">
        <v>2507</v>
      </c>
      <c r="B524" s="180">
        <v>134965</v>
      </c>
      <c r="C524" s="179">
        <v>2538</v>
      </c>
      <c r="D524" s="180">
        <v>136394</v>
      </c>
      <c r="E524" s="179">
        <v>2569</v>
      </c>
      <c r="F524" s="180">
        <v>137782</v>
      </c>
      <c r="G524" s="179">
        <v>2600</v>
      </c>
      <c r="H524" s="180">
        <v>139125</v>
      </c>
      <c r="I524" s="178">
        <v>2631</v>
      </c>
      <c r="J524" s="180">
        <v>140422</v>
      </c>
    </row>
    <row r="525" spans="1:10">
      <c r="A525" s="178">
        <v>2508</v>
      </c>
      <c r="B525" s="180">
        <v>135012</v>
      </c>
      <c r="C525" s="179">
        <v>2539</v>
      </c>
      <c r="D525" s="180">
        <v>136440</v>
      </c>
      <c r="E525" s="179">
        <v>2570</v>
      </c>
      <c r="F525" s="180">
        <v>137826</v>
      </c>
      <c r="G525" s="179">
        <v>2601</v>
      </c>
      <c r="H525" s="180">
        <v>139168</v>
      </c>
      <c r="I525" s="178">
        <v>2632</v>
      </c>
      <c r="J525" s="180">
        <v>140463</v>
      </c>
    </row>
    <row r="526" spans="1:10">
      <c r="A526" s="178">
        <v>2509</v>
      </c>
      <c r="B526" s="180">
        <v>135058</v>
      </c>
      <c r="C526" s="179">
        <v>2540</v>
      </c>
      <c r="D526" s="180">
        <v>136485</v>
      </c>
      <c r="E526" s="179">
        <v>2571</v>
      </c>
      <c r="F526" s="180">
        <v>137870</v>
      </c>
      <c r="G526" s="179">
        <v>2602</v>
      </c>
      <c r="H526" s="180">
        <v>139210</v>
      </c>
      <c r="I526" s="178">
        <v>2633</v>
      </c>
      <c r="J526" s="180">
        <v>140504</v>
      </c>
    </row>
    <row r="527" spans="1:10">
      <c r="A527" s="178">
        <v>2510</v>
      </c>
      <c r="B527" s="180">
        <v>135105</v>
      </c>
      <c r="C527" s="179">
        <v>2541</v>
      </c>
      <c r="D527" s="180">
        <v>136530</v>
      </c>
      <c r="E527" s="179">
        <v>2572</v>
      </c>
      <c r="F527" s="180">
        <v>137914</v>
      </c>
      <c r="G527" s="179">
        <v>2603</v>
      </c>
      <c r="H527" s="180">
        <v>139253</v>
      </c>
      <c r="I527" s="178">
        <v>2634</v>
      </c>
      <c r="J527" s="180">
        <v>140545</v>
      </c>
    </row>
    <row r="528" spans="1:10">
      <c r="A528" s="178">
        <v>2635</v>
      </c>
      <c r="B528" s="180">
        <v>140586</v>
      </c>
      <c r="C528" s="179">
        <v>2666</v>
      </c>
      <c r="D528" s="180">
        <v>141826</v>
      </c>
      <c r="E528" s="179">
        <v>2697</v>
      </c>
      <c r="F528" s="180">
        <v>143011</v>
      </c>
      <c r="G528" s="179">
        <v>2728</v>
      </c>
      <c r="H528" s="180">
        <v>144139</v>
      </c>
      <c r="I528" s="178">
        <v>2759</v>
      </c>
      <c r="J528" s="180">
        <v>145204</v>
      </c>
    </row>
    <row r="529" spans="1:10">
      <c r="A529" s="178">
        <v>2636</v>
      </c>
      <c r="B529" s="180">
        <v>140626</v>
      </c>
      <c r="C529" s="179">
        <v>2667</v>
      </c>
      <c r="D529" s="180">
        <v>141865</v>
      </c>
      <c r="E529" s="179">
        <v>2698</v>
      </c>
      <c r="F529" s="180">
        <v>143049</v>
      </c>
      <c r="G529" s="179">
        <v>2729</v>
      </c>
      <c r="H529" s="180">
        <v>144175</v>
      </c>
      <c r="I529" s="178">
        <v>2760</v>
      </c>
      <c r="J529" s="180">
        <v>145237</v>
      </c>
    </row>
    <row r="530" spans="1:10">
      <c r="A530" s="178">
        <v>2637</v>
      </c>
      <c r="B530" s="180">
        <v>140667</v>
      </c>
      <c r="C530" s="179">
        <v>2668</v>
      </c>
      <c r="D530" s="180">
        <v>141904</v>
      </c>
      <c r="E530" s="179">
        <v>2699</v>
      </c>
      <c r="F530" s="180">
        <v>143086</v>
      </c>
      <c r="G530" s="179">
        <v>2730</v>
      </c>
      <c r="H530" s="180">
        <v>144210</v>
      </c>
      <c r="I530" s="178">
        <v>2761</v>
      </c>
      <c r="J530" s="180">
        <v>145270</v>
      </c>
    </row>
    <row r="531" spans="1:10">
      <c r="A531" s="178">
        <v>2638</v>
      </c>
      <c r="B531" s="180">
        <v>140708</v>
      </c>
      <c r="C531" s="179">
        <v>2669</v>
      </c>
      <c r="D531" s="180">
        <v>141943</v>
      </c>
      <c r="E531" s="179">
        <v>2700</v>
      </c>
      <c r="F531" s="180">
        <v>143123</v>
      </c>
      <c r="G531" s="179">
        <v>2731</v>
      </c>
      <c r="H531" s="180">
        <v>144245</v>
      </c>
      <c r="I531" s="178">
        <v>2762</v>
      </c>
      <c r="J531" s="180">
        <v>145303</v>
      </c>
    </row>
    <row r="532" spans="1:10">
      <c r="A532" s="178">
        <v>2639</v>
      </c>
      <c r="B532" s="180">
        <v>140749</v>
      </c>
      <c r="C532" s="179">
        <v>2670</v>
      </c>
      <c r="D532" s="180">
        <v>141982</v>
      </c>
      <c r="E532" s="179">
        <v>2701</v>
      </c>
      <c r="F532" s="180">
        <v>14316</v>
      </c>
      <c r="G532" s="179">
        <v>2732</v>
      </c>
      <c r="H532" s="180">
        <v>144280</v>
      </c>
      <c r="I532" s="178">
        <v>2763</v>
      </c>
      <c r="J532" s="180">
        <v>145336</v>
      </c>
    </row>
    <row r="533" spans="1:10">
      <c r="A533" s="178">
        <v>2640</v>
      </c>
      <c r="B533" s="180">
        <v>140789</v>
      </c>
      <c r="C533" s="179">
        <v>2671</v>
      </c>
      <c r="D533" s="180">
        <v>142021</v>
      </c>
      <c r="E533" s="179">
        <v>2702</v>
      </c>
      <c r="F533" s="180">
        <v>143197</v>
      </c>
      <c r="G533" s="179">
        <v>2733</v>
      </c>
      <c r="H533" s="180">
        <v>144315</v>
      </c>
      <c r="I533" s="178">
        <v>2764</v>
      </c>
      <c r="J533" s="180">
        <v>145369</v>
      </c>
    </row>
    <row r="534" spans="1:10">
      <c r="A534" s="178">
        <v>2641</v>
      </c>
      <c r="B534" s="180">
        <v>140830</v>
      </c>
      <c r="C534" s="179">
        <v>2672</v>
      </c>
      <c r="D534" s="180">
        <v>142059</v>
      </c>
      <c r="E534" s="179">
        <v>2703</v>
      </c>
      <c r="F534" s="180">
        <v>143234</v>
      </c>
      <c r="G534" s="179">
        <v>2734</v>
      </c>
      <c r="H534" s="180">
        <v>144350</v>
      </c>
      <c r="I534" s="178">
        <v>2765</v>
      </c>
      <c r="J534" s="180">
        <v>145402</v>
      </c>
    </row>
    <row r="535" spans="1:10">
      <c r="A535" s="178">
        <v>2642</v>
      </c>
      <c r="B535" s="180">
        <v>140870</v>
      </c>
      <c r="C535" s="179">
        <v>2673</v>
      </c>
      <c r="D535" s="180">
        <v>142098</v>
      </c>
      <c r="E535" s="179">
        <v>2704</v>
      </c>
      <c r="F535" s="180">
        <v>143271</v>
      </c>
      <c r="G535" s="179">
        <v>2735</v>
      </c>
      <c r="H535" s="180">
        <v>144385</v>
      </c>
      <c r="I535" s="178">
        <v>2766</v>
      </c>
      <c r="J535" s="180">
        <v>145435</v>
      </c>
    </row>
    <row r="536" spans="1:10">
      <c r="A536" s="178">
        <v>2643</v>
      </c>
      <c r="B536" s="180">
        <v>140911</v>
      </c>
      <c r="C536" s="179">
        <v>2674</v>
      </c>
      <c r="D536" s="180">
        <v>142137</v>
      </c>
      <c r="E536" s="179">
        <v>2705</v>
      </c>
      <c r="F536" s="180">
        <v>143308</v>
      </c>
      <c r="G536" s="179">
        <v>2736</v>
      </c>
      <c r="H536" s="180">
        <v>144420</v>
      </c>
      <c r="I536" s="178">
        <v>2767</v>
      </c>
      <c r="J536" s="180">
        <v>145468</v>
      </c>
    </row>
    <row r="537" spans="1:10">
      <c r="A537" s="178">
        <v>2644</v>
      </c>
      <c r="B537" s="180">
        <v>140951</v>
      </c>
      <c r="C537" s="179">
        <v>2675</v>
      </c>
      <c r="D537" s="180">
        <v>142176</v>
      </c>
      <c r="E537" s="179">
        <v>2706</v>
      </c>
      <c r="F537" s="180">
        <v>143345</v>
      </c>
      <c r="G537" s="179">
        <v>2737</v>
      </c>
      <c r="H537" s="180">
        <v>144455</v>
      </c>
      <c r="I537" s="178">
        <v>2768</v>
      </c>
      <c r="J537" s="180">
        <v>145500</v>
      </c>
    </row>
    <row r="538" spans="1:10">
      <c r="A538" s="178">
        <v>2645</v>
      </c>
      <c r="B538" s="180">
        <v>140991</v>
      </c>
      <c r="C538" s="179">
        <v>2676</v>
      </c>
      <c r="D538" s="180">
        <v>142214</v>
      </c>
      <c r="E538" s="179">
        <v>2707</v>
      </c>
      <c r="F538" s="180">
        <v>143382</v>
      </c>
      <c r="G538" s="179">
        <v>2738</v>
      </c>
      <c r="H538" s="180">
        <v>144490</v>
      </c>
      <c r="I538" s="178">
        <v>2769</v>
      </c>
      <c r="J538" s="180">
        <v>145533</v>
      </c>
    </row>
    <row r="539" spans="1:10">
      <c r="A539" s="178">
        <v>2646</v>
      </c>
      <c r="B539" s="180">
        <v>141032</v>
      </c>
      <c r="C539" s="179">
        <v>2677</v>
      </c>
      <c r="D539" s="180">
        <v>142253</v>
      </c>
      <c r="E539" s="179">
        <v>2708</v>
      </c>
      <c r="F539" s="180">
        <v>143419</v>
      </c>
      <c r="G539" s="179">
        <v>2739</v>
      </c>
      <c r="H539" s="180">
        <v>144524</v>
      </c>
      <c r="I539" s="178">
        <v>2770</v>
      </c>
      <c r="J539" s="180">
        <v>145566</v>
      </c>
    </row>
    <row r="540" spans="1:10">
      <c r="A540" s="178">
        <v>2647</v>
      </c>
      <c r="B540" s="180">
        <v>141072</v>
      </c>
      <c r="C540" s="179">
        <v>2678</v>
      </c>
      <c r="D540" s="180">
        <v>142291</v>
      </c>
      <c r="E540" s="179">
        <v>2709</v>
      </c>
      <c r="F540" s="180">
        <v>143455</v>
      </c>
      <c r="G540" s="179">
        <v>2740</v>
      </c>
      <c r="H540" s="180">
        <v>144559</v>
      </c>
      <c r="I540" s="178">
        <v>2771</v>
      </c>
      <c r="J540" s="180">
        <v>145598</v>
      </c>
    </row>
    <row r="541" spans="1:10">
      <c r="A541" s="178">
        <v>2648</v>
      </c>
      <c r="B541" s="180">
        <v>141112</v>
      </c>
      <c r="C541" s="179">
        <v>2679</v>
      </c>
      <c r="D541" s="180">
        <v>142330</v>
      </c>
      <c r="E541" s="179">
        <v>2710</v>
      </c>
      <c r="F541" s="180">
        <v>143492</v>
      </c>
      <c r="G541" s="179">
        <v>2741</v>
      </c>
      <c r="H541" s="180">
        <v>144594</v>
      </c>
      <c r="I541" s="178">
        <v>2772</v>
      </c>
      <c r="J541" s="180">
        <v>145630</v>
      </c>
    </row>
    <row r="542" spans="1:10">
      <c r="A542" s="178">
        <v>2649</v>
      </c>
      <c r="B542" s="180">
        <v>141152</v>
      </c>
      <c r="C542" s="179">
        <v>2680</v>
      </c>
      <c r="D542" s="180">
        <v>142368</v>
      </c>
      <c r="E542" s="179">
        <v>2711</v>
      </c>
      <c r="F542" s="180">
        <v>143528</v>
      </c>
      <c r="G542" s="179">
        <v>2742</v>
      </c>
      <c r="H542" s="180">
        <v>144628</v>
      </c>
      <c r="I542" s="178">
        <v>2773</v>
      </c>
      <c r="J542" s="180">
        <v>145663</v>
      </c>
    </row>
    <row r="543" spans="1:10">
      <c r="A543" s="178">
        <v>2650</v>
      </c>
      <c r="B543" s="180">
        <v>141192</v>
      </c>
      <c r="C543" s="179">
        <v>2681</v>
      </c>
      <c r="D543" s="180">
        <v>142406</v>
      </c>
      <c r="E543" s="179">
        <v>2712</v>
      </c>
      <c r="F543" s="180">
        <v>143565</v>
      </c>
      <c r="G543" s="179">
        <v>2743</v>
      </c>
      <c r="H543" s="180">
        <v>144663</v>
      </c>
      <c r="I543" s="178">
        <v>2774</v>
      </c>
      <c r="J543" s="180">
        <v>145695</v>
      </c>
    </row>
    <row r="544" spans="1:10">
      <c r="A544" s="178">
        <v>2651</v>
      </c>
      <c r="B544" s="180">
        <v>141232</v>
      </c>
      <c r="C544" s="179">
        <v>2682</v>
      </c>
      <c r="D544" s="180">
        <v>142445</v>
      </c>
      <c r="E544" s="179">
        <v>2713</v>
      </c>
      <c r="F544" s="180">
        <v>143601</v>
      </c>
      <c r="G544" s="179">
        <v>2744</v>
      </c>
      <c r="H544" s="180">
        <v>144697</v>
      </c>
      <c r="I544" s="178">
        <v>2775</v>
      </c>
      <c r="J544" s="180">
        <v>145727</v>
      </c>
    </row>
    <row r="545" spans="1:10">
      <c r="A545" s="178">
        <v>2652</v>
      </c>
      <c r="B545" s="180">
        <v>141272</v>
      </c>
      <c r="C545" s="179">
        <v>2683</v>
      </c>
      <c r="D545" s="180">
        <v>142483</v>
      </c>
      <c r="E545" s="179">
        <v>2714</v>
      </c>
      <c r="F545" s="180">
        <v>143637</v>
      </c>
      <c r="G545" s="179">
        <v>2745</v>
      </c>
      <c r="H545" s="180">
        <v>144731</v>
      </c>
      <c r="I545" s="178">
        <v>2776</v>
      </c>
      <c r="J545" s="180">
        <v>145759</v>
      </c>
    </row>
    <row r="546" spans="1:10">
      <c r="A546" s="178">
        <v>2653</v>
      </c>
      <c r="B546" s="180">
        <v>141312</v>
      </c>
      <c r="C546" s="179">
        <v>2684</v>
      </c>
      <c r="D546" s="180">
        <v>142521</v>
      </c>
      <c r="E546" s="179">
        <v>2715</v>
      </c>
      <c r="F546" s="180">
        <v>143674</v>
      </c>
      <c r="G546" s="179">
        <v>2746</v>
      </c>
      <c r="H546" s="180">
        <v>144765</v>
      </c>
      <c r="I546" s="178">
        <v>2777</v>
      </c>
      <c r="J546" s="180">
        <v>145791</v>
      </c>
    </row>
    <row r="547" spans="1:10">
      <c r="A547" s="178">
        <v>2654</v>
      </c>
      <c r="B547" s="180">
        <v>141352</v>
      </c>
      <c r="C547" s="179">
        <v>2685</v>
      </c>
      <c r="D547" s="180">
        <v>142559</v>
      </c>
      <c r="E547" s="179">
        <v>2716</v>
      </c>
      <c r="F547" s="180">
        <v>143710</v>
      </c>
      <c r="G547" s="179">
        <v>2747</v>
      </c>
      <c r="H547" s="180">
        <v>144800</v>
      </c>
      <c r="I547" s="178">
        <v>2778</v>
      </c>
      <c r="J547" s="180">
        <v>145823</v>
      </c>
    </row>
    <row r="548" spans="1:10">
      <c r="A548" s="178">
        <v>2655</v>
      </c>
      <c r="B548" s="180">
        <v>141392</v>
      </c>
      <c r="C548" s="179">
        <v>2686</v>
      </c>
      <c r="D548" s="180">
        <v>142597</v>
      </c>
      <c r="E548" s="179">
        <v>2717</v>
      </c>
      <c r="F548" s="180">
        <v>143746</v>
      </c>
      <c r="G548" s="179">
        <v>2748</v>
      </c>
      <c r="H548" s="180">
        <v>144834</v>
      </c>
      <c r="I548" s="178">
        <v>2779</v>
      </c>
      <c r="J548" s="180">
        <v>145855</v>
      </c>
    </row>
    <row r="549" spans="1:10">
      <c r="A549" s="178">
        <v>2656</v>
      </c>
      <c r="B549" s="180">
        <v>141431</v>
      </c>
      <c r="C549" s="179">
        <v>2687</v>
      </c>
      <c r="D549" s="180">
        <v>142635</v>
      </c>
      <c r="E549" s="179">
        <v>2718</v>
      </c>
      <c r="F549" s="180">
        <v>143782</v>
      </c>
      <c r="G549" s="179">
        <v>2749</v>
      </c>
      <c r="H549" s="180">
        <v>144868</v>
      </c>
      <c r="I549" s="178">
        <v>2780</v>
      </c>
      <c r="J549" s="180">
        <v>145887</v>
      </c>
    </row>
    <row r="550" spans="1:10">
      <c r="A550" s="178">
        <v>2657</v>
      </c>
      <c r="B550" s="180">
        <v>141471</v>
      </c>
      <c r="C550" s="179">
        <v>2688</v>
      </c>
      <c r="D550" s="180">
        <v>142673</v>
      </c>
      <c r="E550" s="179">
        <v>2719</v>
      </c>
      <c r="F550" s="180">
        <v>143818</v>
      </c>
      <c r="G550" s="179">
        <v>2750</v>
      </c>
      <c r="H550" s="180">
        <v>144902</v>
      </c>
      <c r="I550" s="178">
        <v>2781</v>
      </c>
      <c r="J550" s="180">
        <v>145918</v>
      </c>
    </row>
    <row r="551" spans="1:10">
      <c r="A551" s="178">
        <v>2658</v>
      </c>
      <c r="B551" s="180">
        <v>141511</v>
      </c>
      <c r="C551" s="179">
        <v>2689</v>
      </c>
      <c r="D551" s="180">
        <v>142711</v>
      </c>
      <c r="E551" s="179">
        <v>2720</v>
      </c>
      <c r="F551" s="180">
        <v>143854</v>
      </c>
      <c r="G551" s="179">
        <v>2751</v>
      </c>
      <c r="H551" s="180">
        <v>144935</v>
      </c>
      <c r="I551" s="178">
        <v>2782</v>
      </c>
      <c r="J551" s="180">
        <v>145950</v>
      </c>
    </row>
    <row r="552" spans="1:10">
      <c r="A552" s="178">
        <v>2659</v>
      </c>
      <c r="B552" s="180">
        <v>141550</v>
      </c>
      <c r="C552" s="179">
        <v>2690</v>
      </c>
      <c r="D552" s="180">
        <v>142749</v>
      </c>
      <c r="E552" s="179">
        <v>2721</v>
      </c>
      <c r="F552" s="180">
        <v>143890</v>
      </c>
      <c r="G552" s="179">
        <v>2752</v>
      </c>
      <c r="H552" s="180">
        <v>144969</v>
      </c>
      <c r="I552" s="178">
        <v>2783</v>
      </c>
      <c r="J552" s="180">
        <v>145981</v>
      </c>
    </row>
    <row r="553" spans="1:10">
      <c r="A553" s="178">
        <v>2660</v>
      </c>
      <c r="B553" s="180">
        <v>141590</v>
      </c>
      <c r="C553" s="179">
        <v>2691</v>
      </c>
      <c r="D553" s="180">
        <v>142786</v>
      </c>
      <c r="E553" s="179">
        <v>2722</v>
      </c>
      <c r="F553" s="180">
        <v>143926</v>
      </c>
      <c r="G553" s="179">
        <v>2753</v>
      </c>
      <c r="H553" s="180">
        <v>145003</v>
      </c>
      <c r="I553" s="178">
        <v>2784</v>
      </c>
      <c r="J553" s="180">
        <v>146013</v>
      </c>
    </row>
    <row r="554" spans="1:10">
      <c r="A554" s="178">
        <v>2661</v>
      </c>
      <c r="B554" s="180">
        <v>141629</v>
      </c>
      <c r="C554" s="179">
        <v>2692</v>
      </c>
      <c r="D554" s="180">
        <v>142824</v>
      </c>
      <c r="E554" s="179">
        <v>2723</v>
      </c>
      <c r="F554" s="180">
        <v>143961</v>
      </c>
      <c r="G554" s="179">
        <v>2754</v>
      </c>
      <c r="H554" s="180">
        <v>145037</v>
      </c>
      <c r="I554" s="178">
        <v>2785</v>
      </c>
      <c r="J554" s="180">
        <v>146044</v>
      </c>
    </row>
    <row r="555" spans="1:10">
      <c r="A555" s="178">
        <v>2662</v>
      </c>
      <c r="B555" s="180">
        <v>141669</v>
      </c>
      <c r="C555" s="179">
        <v>2693</v>
      </c>
      <c r="D555" s="180">
        <v>142862</v>
      </c>
      <c r="E555" s="179">
        <v>2724</v>
      </c>
      <c r="F555" s="180">
        <v>143997</v>
      </c>
      <c r="G555" s="179">
        <v>2755</v>
      </c>
      <c r="H555" s="180">
        <v>145070</v>
      </c>
      <c r="I555" s="178">
        <v>2786</v>
      </c>
      <c r="J555" s="180">
        <v>146076</v>
      </c>
    </row>
    <row r="556" spans="1:10">
      <c r="A556" s="178">
        <v>2663</v>
      </c>
      <c r="B556" s="180">
        <v>141708</v>
      </c>
      <c r="C556" s="179">
        <v>2694</v>
      </c>
      <c r="D556" s="180">
        <v>142899</v>
      </c>
      <c r="E556" s="179">
        <v>2725</v>
      </c>
      <c r="F556" s="180">
        <v>144033</v>
      </c>
      <c r="G556" s="179">
        <v>2756</v>
      </c>
      <c r="H556" s="180">
        <v>145104</v>
      </c>
      <c r="I556" s="178">
        <v>2787</v>
      </c>
      <c r="J556" s="180">
        <v>146107</v>
      </c>
    </row>
    <row r="557" spans="1:10">
      <c r="A557" s="178">
        <v>2664</v>
      </c>
      <c r="B557" s="180">
        <v>141747</v>
      </c>
      <c r="C557" s="179">
        <v>2695</v>
      </c>
      <c r="D557" s="180">
        <v>142937</v>
      </c>
      <c r="E557" s="179">
        <v>2726</v>
      </c>
      <c r="F557" s="180">
        <v>144068</v>
      </c>
      <c r="G557" s="179">
        <v>2757</v>
      </c>
      <c r="H557" s="180">
        <v>145137</v>
      </c>
      <c r="I557" s="178">
        <v>2788</v>
      </c>
      <c r="J557" s="180">
        <v>146138</v>
      </c>
    </row>
    <row r="558" spans="1:10">
      <c r="A558" s="178">
        <v>2665</v>
      </c>
      <c r="B558" s="180">
        <v>141786</v>
      </c>
      <c r="C558" s="179">
        <v>2696</v>
      </c>
      <c r="D558" s="180">
        <v>142974</v>
      </c>
      <c r="E558" s="179">
        <v>2727</v>
      </c>
      <c r="F558" s="180">
        <v>144104</v>
      </c>
      <c r="G558" s="179">
        <v>2758</v>
      </c>
      <c r="H558" s="180">
        <v>145171</v>
      </c>
      <c r="I558" s="178">
        <v>2789</v>
      </c>
      <c r="J558" s="180">
        <v>146169</v>
      </c>
    </row>
    <row r="559" spans="1:10">
      <c r="A559" s="178">
        <v>2790</v>
      </c>
      <c r="B559" s="180">
        <v>146200</v>
      </c>
      <c r="C559" s="179">
        <v>2821</v>
      </c>
      <c r="D559" s="180">
        <v>147120</v>
      </c>
      <c r="E559" s="179">
        <v>2852</v>
      </c>
      <c r="F559" s="180">
        <v>147956</v>
      </c>
      <c r="G559" s="179">
        <v>2883</v>
      </c>
      <c r="H559" s="180">
        <v>148696</v>
      </c>
      <c r="I559" s="178">
        <v>2914</v>
      </c>
      <c r="J559" s="180">
        <v>149321</v>
      </c>
    </row>
    <row r="560" spans="1:10">
      <c r="A560" s="178">
        <v>2791</v>
      </c>
      <c r="B560" s="180">
        <v>146231</v>
      </c>
      <c r="C560" s="179">
        <v>2822</v>
      </c>
      <c r="D560" s="180">
        <v>147149</v>
      </c>
      <c r="E560" s="179">
        <v>2853</v>
      </c>
      <c r="F560" s="180">
        <v>147982</v>
      </c>
      <c r="G560" s="179">
        <v>2884</v>
      </c>
      <c r="H560" s="180">
        <v>148718</v>
      </c>
      <c r="I560" s="178">
        <v>2915</v>
      </c>
      <c r="J560" s="180">
        <v>149339</v>
      </c>
    </row>
    <row r="561" spans="1:10">
      <c r="A561" s="178">
        <v>2792</v>
      </c>
      <c r="B561" s="180">
        <v>146262</v>
      </c>
      <c r="C561" s="179">
        <v>2823</v>
      </c>
      <c r="D561" s="180">
        <v>147177</v>
      </c>
      <c r="E561" s="179">
        <v>2854</v>
      </c>
      <c r="F561" s="180">
        <v>148007</v>
      </c>
      <c r="G561" s="179">
        <v>2885</v>
      </c>
      <c r="H561" s="180">
        <v>148740</v>
      </c>
      <c r="I561" s="178">
        <v>2916</v>
      </c>
      <c r="J561" s="180">
        <v>149357</v>
      </c>
    </row>
    <row r="562" spans="1:10">
      <c r="A562" s="178">
        <v>2793</v>
      </c>
      <c r="B562" s="180">
        <v>146292</v>
      </c>
      <c r="C562" s="179">
        <v>2824</v>
      </c>
      <c r="D562" s="180">
        <v>147205</v>
      </c>
      <c r="E562" s="179">
        <v>2855</v>
      </c>
      <c r="F562" s="180">
        <v>148032</v>
      </c>
      <c r="G562" s="179">
        <v>2886</v>
      </c>
      <c r="H562" s="180">
        <v>148761</v>
      </c>
      <c r="I562" s="178">
        <v>2917</v>
      </c>
      <c r="J562" s="180">
        <v>149374</v>
      </c>
    </row>
    <row r="563" spans="1:10">
      <c r="A563" s="178">
        <v>2794</v>
      </c>
      <c r="B563" s="180">
        <v>146323</v>
      </c>
      <c r="C563" s="179">
        <v>2825</v>
      </c>
      <c r="D563" s="180">
        <v>147233</v>
      </c>
      <c r="E563" s="179">
        <v>2856</v>
      </c>
      <c r="F563" s="180">
        <v>148057</v>
      </c>
      <c r="G563" s="179">
        <v>2887</v>
      </c>
      <c r="H563" s="180">
        <v>148783</v>
      </c>
      <c r="I563" s="178">
        <v>2918</v>
      </c>
      <c r="J563" s="180">
        <v>149392</v>
      </c>
    </row>
    <row r="564" spans="1:10">
      <c r="A564" s="178">
        <v>2795</v>
      </c>
      <c r="B564" s="180">
        <v>146354</v>
      </c>
      <c r="C564" s="179">
        <v>2826</v>
      </c>
      <c r="D564" s="180">
        <v>147261</v>
      </c>
      <c r="E564" s="179">
        <v>2857</v>
      </c>
      <c r="F564" s="180">
        <v>148082</v>
      </c>
      <c r="G564" s="179">
        <v>2888</v>
      </c>
      <c r="H564" s="180">
        <v>148805</v>
      </c>
      <c r="I564" s="178">
        <v>2919</v>
      </c>
      <c r="J564" s="180">
        <v>149409</v>
      </c>
    </row>
    <row r="565" spans="1:10">
      <c r="A565" s="178">
        <v>2796</v>
      </c>
      <c r="B565" s="180">
        <v>146384</v>
      </c>
      <c r="C565" s="179">
        <v>2827</v>
      </c>
      <c r="D565" s="180">
        <v>147289</v>
      </c>
      <c r="E565" s="179">
        <v>2858</v>
      </c>
      <c r="F565" s="180">
        <v>148107</v>
      </c>
      <c r="G565" s="179">
        <v>2889</v>
      </c>
      <c r="H565" s="180">
        <v>148826</v>
      </c>
      <c r="I565" s="178">
        <v>2920</v>
      </c>
      <c r="J565" s="180">
        <v>149427</v>
      </c>
    </row>
    <row r="566" spans="1:10">
      <c r="A566" s="178">
        <v>2797</v>
      </c>
      <c r="B566" s="180">
        <v>146415</v>
      </c>
      <c r="C566" s="179">
        <v>2828</v>
      </c>
      <c r="D566" s="180">
        <v>147317</v>
      </c>
      <c r="E566" s="179">
        <v>2859</v>
      </c>
      <c r="F566" s="180">
        <v>148132</v>
      </c>
      <c r="G566" s="179">
        <v>2890</v>
      </c>
      <c r="H566" s="180">
        <v>148848</v>
      </c>
      <c r="I566" s="178">
        <v>2921</v>
      </c>
      <c r="J566" s="180">
        <v>149444</v>
      </c>
    </row>
    <row r="567" spans="1:10">
      <c r="A567" s="178">
        <v>2798</v>
      </c>
      <c r="B567" s="180">
        <v>146445</v>
      </c>
      <c r="C567" s="179">
        <v>2829</v>
      </c>
      <c r="D567" s="180">
        <v>147345</v>
      </c>
      <c r="E567" s="179">
        <v>2860</v>
      </c>
      <c r="F567" s="180">
        <v>148157</v>
      </c>
      <c r="G567" s="179">
        <v>2891</v>
      </c>
      <c r="H567" s="180">
        <v>148869</v>
      </c>
      <c r="I567" s="178">
        <v>2922</v>
      </c>
      <c r="J567" s="180">
        <v>149461</v>
      </c>
    </row>
    <row r="568" spans="1:10">
      <c r="A568" s="178">
        <v>2799</v>
      </c>
      <c r="B568" s="180">
        <v>146475</v>
      </c>
      <c r="C568" s="179">
        <v>2830</v>
      </c>
      <c r="D568" s="180">
        <v>147372</v>
      </c>
      <c r="E568" s="179">
        <v>2861</v>
      </c>
      <c r="F568" s="180">
        <v>148181</v>
      </c>
      <c r="G568" s="179">
        <v>2892</v>
      </c>
      <c r="H568" s="180">
        <v>148890</v>
      </c>
      <c r="I568" s="178">
        <v>2923</v>
      </c>
      <c r="J568" s="180">
        <v>149478</v>
      </c>
    </row>
    <row r="569" spans="1:10">
      <c r="A569" s="178">
        <v>2800</v>
      </c>
      <c r="B569" s="180">
        <v>146505</v>
      </c>
      <c r="C569" s="179">
        <v>2831</v>
      </c>
      <c r="D569" s="180">
        <v>147400</v>
      </c>
      <c r="E569" s="179">
        <v>2862</v>
      </c>
      <c r="F569" s="180">
        <v>148206</v>
      </c>
      <c r="G569" s="179">
        <v>2893</v>
      </c>
      <c r="H569" s="180">
        <v>148911</v>
      </c>
      <c r="I569" s="178">
        <v>2924</v>
      </c>
      <c r="J569" s="180">
        <v>149494</v>
      </c>
    </row>
    <row r="570" spans="1:10">
      <c r="A570" s="178">
        <v>2801</v>
      </c>
      <c r="B570" s="180">
        <v>146536</v>
      </c>
      <c r="C570" s="179">
        <v>2832</v>
      </c>
      <c r="D570" s="180">
        <v>147427</v>
      </c>
      <c r="E570" s="179">
        <v>2863</v>
      </c>
      <c r="F570" s="180">
        <v>148230</v>
      </c>
      <c r="G570" s="179">
        <v>2894</v>
      </c>
      <c r="H570" s="180">
        <v>148932</v>
      </c>
      <c r="I570" s="178">
        <v>2925</v>
      </c>
      <c r="J570" s="180">
        <v>149510</v>
      </c>
    </row>
    <row r="571" spans="1:10">
      <c r="A571" s="178">
        <v>2802</v>
      </c>
      <c r="B571" s="180">
        <v>146566</v>
      </c>
      <c r="C571" s="179">
        <v>2833</v>
      </c>
      <c r="D571" s="180">
        <v>147455</v>
      </c>
      <c r="E571" s="179">
        <v>2864</v>
      </c>
      <c r="F571" s="180">
        <v>148255</v>
      </c>
      <c r="G571" s="179">
        <v>2895</v>
      </c>
      <c r="H571" s="180">
        <v>148952</v>
      </c>
      <c r="I571" s="178">
        <v>2926</v>
      </c>
      <c r="J571" s="180">
        <v>149527</v>
      </c>
    </row>
    <row r="572" spans="1:10">
      <c r="A572" s="178">
        <v>2803</v>
      </c>
      <c r="B572" s="180">
        <v>146596</v>
      </c>
      <c r="C572" s="179">
        <v>2834</v>
      </c>
      <c r="D572" s="180">
        <v>147482</v>
      </c>
      <c r="E572" s="179">
        <v>2865</v>
      </c>
      <c r="F572" s="180">
        <v>148279</v>
      </c>
      <c r="G572" s="179">
        <v>2896</v>
      </c>
      <c r="H572" s="180">
        <v>148973</v>
      </c>
      <c r="I572" s="178">
        <v>2927</v>
      </c>
      <c r="J572" s="180">
        <v>149543</v>
      </c>
    </row>
    <row r="573" spans="1:10">
      <c r="A573" s="178">
        <v>2804</v>
      </c>
      <c r="B573" s="180">
        <v>146626</v>
      </c>
      <c r="C573" s="179">
        <v>2835</v>
      </c>
      <c r="D573" s="180">
        <v>147509</v>
      </c>
      <c r="E573" s="179">
        <v>2866</v>
      </c>
      <c r="F573" s="180">
        <v>148303</v>
      </c>
      <c r="G573" s="179">
        <v>2897</v>
      </c>
      <c r="H573" s="180">
        <v>148993</v>
      </c>
      <c r="I573" s="178">
        <v>2928</v>
      </c>
      <c r="J573" s="180">
        <v>149559</v>
      </c>
    </row>
    <row r="574" spans="1:10">
      <c r="A574" s="178">
        <v>2805</v>
      </c>
      <c r="B574" s="180">
        <v>146655</v>
      </c>
      <c r="C574" s="179">
        <v>2836</v>
      </c>
      <c r="D574" s="180">
        <v>147536</v>
      </c>
      <c r="E574" s="179">
        <v>2867</v>
      </c>
      <c r="F574" s="180">
        <v>148327</v>
      </c>
      <c r="G574" s="179">
        <v>2898</v>
      </c>
      <c r="H574" s="180">
        <v>149014</v>
      </c>
      <c r="I574" s="178">
        <v>2929</v>
      </c>
      <c r="J574" s="180">
        <v>149574</v>
      </c>
    </row>
    <row r="575" spans="1:10">
      <c r="A575" s="178">
        <v>2806</v>
      </c>
      <c r="B575" s="180">
        <v>146685</v>
      </c>
      <c r="C575" s="179">
        <v>2837</v>
      </c>
      <c r="D575" s="180">
        <v>147563</v>
      </c>
      <c r="E575" s="179">
        <v>2868</v>
      </c>
      <c r="F575" s="180">
        <v>148351</v>
      </c>
      <c r="G575" s="179">
        <v>2899</v>
      </c>
      <c r="H575" s="180">
        <v>149034</v>
      </c>
      <c r="I575" s="178">
        <v>2930</v>
      </c>
      <c r="J575" s="180">
        <v>149590</v>
      </c>
    </row>
    <row r="576" spans="1:10">
      <c r="A576" s="178">
        <v>2807</v>
      </c>
      <c r="B576" s="180">
        <v>146715</v>
      </c>
      <c r="C576" s="179">
        <v>2838</v>
      </c>
      <c r="D576" s="180">
        <v>147590</v>
      </c>
      <c r="E576" s="179">
        <v>2869</v>
      </c>
      <c r="F576" s="180">
        <v>148375</v>
      </c>
      <c r="G576" s="179">
        <v>2900</v>
      </c>
      <c r="H576" s="180">
        <v>149054</v>
      </c>
      <c r="I576" s="178">
        <v>2931</v>
      </c>
      <c r="J576" s="180">
        <v>149605</v>
      </c>
    </row>
    <row r="577" spans="1:10">
      <c r="A577" s="178">
        <v>2808</v>
      </c>
      <c r="B577" s="180">
        <v>146744</v>
      </c>
      <c r="C577" s="179">
        <v>2839</v>
      </c>
      <c r="D577" s="180">
        <v>147617</v>
      </c>
      <c r="E577" s="179">
        <v>2870</v>
      </c>
      <c r="F577" s="180">
        <v>148398</v>
      </c>
      <c r="G577" s="179">
        <v>2901</v>
      </c>
      <c r="H577" s="180">
        <v>149074</v>
      </c>
      <c r="I577" s="178">
        <v>2932</v>
      </c>
      <c r="J577" s="180">
        <v>149621</v>
      </c>
    </row>
    <row r="578" spans="1:10">
      <c r="A578" s="178">
        <v>2809</v>
      </c>
      <c r="B578" s="180">
        <v>146774</v>
      </c>
      <c r="C578" s="179">
        <v>2840</v>
      </c>
      <c r="D578" s="180">
        <v>147643</v>
      </c>
      <c r="E578" s="179">
        <v>2871</v>
      </c>
      <c r="F578" s="180">
        <v>148422</v>
      </c>
      <c r="G578" s="179">
        <v>2902</v>
      </c>
      <c r="H578" s="180">
        <v>149094</v>
      </c>
      <c r="I578" s="178">
        <v>2933</v>
      </c>
      <c r="J578" s="180">
        <v>149636</v>
      </c>
    </row>
    <row r="579" spans="1:10">
      <c r="A579" s="178">
        <v>2810</v>
      </c>
      <c r="B579" s="180">
        <v>146803</v>
      </c>
      <c r="C579" s="179">
        <v>2841</v>
      </c>
      <c r="D579" s="180">
        <v>147670</v>
      </c>
      <c r="E579" s="179">
        <v>2872</v>
      </c>
      <c r="F579" s="180">
        <v>148445</v>
      </c>
      <c r="G579" s="179">
        <v>2903</v>
      </c>
      <c r="H579" s="180">
        <v>149114</v>
      </c>
      <c r="I579" s="178">
        <v>2934</v>
      </c>
      <c r="J579" s="180">
        <v>149650</v>
      </c>
    </row>
    <row r="580" spans="1:10">
      <c r="A580" s="178">
        <v>2811</v>
      </c>
      <c r="B580" s="180">
        <v>146832</v>
      </c>
      <c r="C580" s="179">
        <v>2842</v>
      </c>
      <c r="D580" s="180">
        <v>147696</v>
      </c>
      <c r="E580" s="179">
        <v>2873</v>
      </c>
      <c r="F580" s="180">
        <v>148469</v>
      </c>
      <c r="G580" s="179">
        <v>2904</v>
      </c>
      <c r="H580" s="180">
        <v>149133</v>
      </c>
      <c r="I580" s="178">
        <v>2935</v>
      </c>
      <c r="J580" s="180">
        <v>149665</v>
      </c>
    </row>
    <row r="581" spans="1:10">
      <c r="A581" s="178">
        <v>2812</v>
      </c>
      <c r="B581" s="180">
        <v>146861</v>
      </c>
      <c r="C581" s="179">
        <v>2843</v>
      </c>
      <c r="D581" s="180">
        <v>147723</v>
      </c>
      <c r="E581" s="179">
        <v>2874</v>
      </c>
      <c r="F581" s="180">
        <v>148492</v>
      </c>
      <c r="G581" s="179">
        <v>2905</v>
      </c>
      <c r="H581" s="180">
        <v>149152</v>
      </c>
      <c r="I581" s="178">
        <v>2936</v>
      </c>
      <c r="J581" s="180">
        <v>149680</v>
      </c>
    </row>
    <row r="582" spans="1:10">
      <c r="A582" s="178">
        <v>2813</v>
      </c>
      <c r="B582" s="180">
        <v>146891</v>
      </c>
      <c r="C582" s="179">
        <v>2844</v>
      </c>
      <c r="D582" s="180">
        <v>147749</v>
      </c>
      <c r="E582" s="179">
        <v>2875</v>
      </c>
      <c r="F582" s="180">
        <v>148515</v>
      </c>
      <c r="G582" s="179">
        <v>2906</v>
      </c>
      <c r="H582" s="180">
        <v>149172</v>
      </c>
      <c r="I582" s="178">
        <v>2937</v>
      </c>
      <c r="J582" s="180">
        <v>149694</v>
      </c>
    </row>
    <row r="583" spans="1:10">
      <c r="A583" s="178">
        <v>2814</v>
      </c>
      <c r="B583" s="180">
        <v>146920</v>
      </c>
      <c r="C583" s="179">
        <v>2845</v>
      </c>
      <c r="D583" s="180">
        <v>147775</v>
      </c>
      <c r="E583" s="179">
        <v>2876</v>
      </c>
      <c r="F583" s="180">
        <v>148538</v>
      </c>
      <c r="G583" s="179">
        <v>2907</v>
      </c>
      <c r="H583" s="180">
        <v>149191</v>
      </c>
      <c r="I583" s="178">
        <v>2938</v>
      </c>
      <c r="J583" s="180">
        <v>149708</v>
      </c>
    </row>
    <row r="584" spans="1:10">
      <c r="A584" s="178">
        <v>2815</v>
      </c>
      <c r="B584" s="180">
        <v>146948</v>
      </c>
      <c r="C584" s="179">
        <v>2846</v>
      </c>
      <c r="D584" s="180">
        <v>147802</v>
      </c>
      <c r="E584" s="179">
        <v>2877</v>
      </c>
      <c r="F584" s="180">
        <v>148561</v>
      </c>
      <c r="G584" s="179">
        <v>2908</v>
      </c>
      <c r="H584" s="180">
        <v>149210</v>
      </c>
      <c r="I584" s="178">
        <v>2939</v>
      </c>
      <c r="J584" s="180">
        <v>149722</v>
      </c>
    </row>
    <row r="585" spans="1:10">
      <c r="A585" s="178">
        <v>2816</v>
      </c>
      <c r="B585" s="180">
        <v>146977</v>
      </c>
      <c r="C585" s="179">
        <v>2847</v>
      </c>
      <c r="D585" s="180">
        <v>147828</v>
      </c>
      <c r="E585" s="179">
        <v>2878</v>
      </c>
      <c r="F585" s="180">
        <v>148583</v>
      </c>
      <c r="G585" s="179">
        <v>2909</v>
      </c>
      <c r="H585" s="180">
        <v>149229</v>
      </c>
      <c r="I585" s="178">
        <v>2940</v>
      </c>
      <c r="J585" s="180">
        <v>149736</v>
      </c>
    </row>
    <row r="586" spans="1:10">
      <c r="A586" s="178">
        <v>2817</v>
      </c>
      <c r="B586" s="180">
        <v>147006</v>
      </c>
      <c r="C586" s="179">
        <v>2848</v>
      </c>
      <c r="D586" s="180">
        <v>147853</v>
      </c>
      <c r="E586" s="179">
        <v>2879</v>
      </c>
      <c r="F586" s="180">
        <v>148606</v>
      </c>
      <c r="G586" s="179">
        <v>2910</v>
      </c>
      <c r="H586" s="180">
        <v>149247</v>
      </c>
      <c r="I586" s="178">
        <v>2941</v>
      </c>
      <c r="J586" s="180">
        <v>149750</v>
      </c>
    </row>
    <row r="587" spans="1:10">
      <c r="A587" s="178">
        <v>2818</v>
      </c>
      <c r="B587" s="180">
        <v>147035</v>
      </c>
      <c r="C587" s="179">
        <v>2849</v>
      </c>
      <c r="D587" s="180">
        <v>147879</v>
      </c>
      <c r="E587" s="179">
        <v>2880</v>
      </c>
      <c r="F587" s="180">
        <v>148629</v>
      </c>
      <c r="G587" s="179">
        <v>2911</v>
      </c>
      <c r="H587" s="180">
        <v>149266</v>
      </c>
      <c r="I587" s="178">
        <v>2942</v>
      </c>
      <c r="J587" s="180">
        <v>149763</v>
      </c>
    </row>
    <row r="588" spans="1:10">
      <c r="A588" s="178">
        <v>2819</v>
      </c>
      <c r="B588" s="180">
        <v>147063</v>
      </c>
      <c r="C588" s="179">
        <v>2850</v>
      </c>
      <c r="D588" s="180">
        <v>147905</v>
      </c>
      <c r="E588" s="179">
        <v>2881</v>
      </c>
      <c r="F588" s="180">
        <v>148651</v>
      </c>
      <c r="G588" s="179">
        <v>2912</v>
      </c>
      <c r="H588" s="180">
        <v>149284</v>
      </c>
      <c r="I588" s="178">
        <v>2943</v>
      </c>
      <c r="J588" s="180">
        <v>149776</v>
      </c>
    </row>
    <row r="589" spans="1:10">
      <c r="A589" s="178">
        <v>2820</v>
      </c>
      <c r="B589" s="180">
        <v>147092</v>
      </c>
      <c r="C589" s="179">
        <v>2851</v>
      </c>
      <c r="D589" s="180">
        <v>147931</v>
      </c>
      <c r="E589" s="179">
        <v>2882</v>
      </c>
      <c r="F589" s="180">
        <v>148673</v>
      </c>
      <c r="G589" s="179">
        <v>2913</v>
      </c>
      <c r="H589" s="180">
        <v>149303</v>
      </c>
      <c r="I589" s="178">
        <v>2944</v>
      </c>
      <c r="J589" s="180">
        <v>149769</v>
      </c>
    </row>
    <row r="590" spans="1:10">
      <c r="A590" s="178">
        <v>2945</v>
      </c>
      <c r="B590" s="180">
        <v>149802</v>
      </c>
    </row>
    <row r="591" spans="1:10">
      <c r="A591" s="178">
        <v>2946</v>
      </c>
      <c r="B591" s="180">
        <v>149814</v>
      </c>
    </row>
    <row r="592" spans="1:10" s="179" customFormat="1">
      <c r="A592" s="178">
        <v>2947</v>
      </c>
      <c r="B592" s="180">
        <v>149827</v>
      </c>
      <c r="D592" s="180"/>
      <c r="F592" s="180"/>
      <c r="H592" s="180"/>
      <c r="I592" s="178"/>
      <c r="J592" s="180"/>
    </row>
    <row r="593" spans="1:10" s="179" customFormat="1">
      <c r="A593" s="178">
        <v>2948</v>
      </c>
      <c r="B593" s="180">
        <v>149839</v>
      </c>
      <c r="D593" s="180"/>
      <c r="F593" s="180"/>
      <c r="H593" s="180"/>
      <c r="I593" s="178"/>
      <c r="J593" s="180"/>
    </row>
    <row r="594" spans="1:10" s="179" customFormat="1">
      <c r="A594" s="178">
        <v>2949</v>
      </c>
      <c r="B594" s="180">
        <v>149851</v>
      </c>
      <c r="D594" s="180"/>
      <c r="F594" s="180"/>
      <c r="H594" s="180"/>
      <c r="I594" s="178"/>
      <c r="J594" s="180"/>
    </row>
    <row r="595" spans="1:10" s="179" customFormat="1">
      <c r="A595" s="178">
        <v>2950</v>
      </c>
      <c r="B595" s="180">
        <v>149862</v>
      </c>
      <c r="D595" s="180"/>
      <c r="F595" s="180"/>
      <c r="H595" s="180"/>
      <c r="I595" s="178"/>
      <c r="J595" s="180"/>
    </row>
    <row r="596" spans="1:10" s="179" customFormat="1">
      <c r="A596" s="178">
        <v>2951</v>
      </c>
      <c r="B596" s="180">
        <v>149874</v>
      </c>
      <c r="D596" s="180"/>
      <c r="F596" s="180"/>
      <c r="H596" s="180"/>
      <c r="I596" s="178"/>
      <c r="J596" s="180"/>
    </row>
    <row r="597" spans="1:10" s="179" customFormat="1">
      <c r="A597" s="178">
        <v>2952</v>
      </c>
      <c r="B597" s="180">
        <v>149885</v>
      </c>
      <c r="D597" s="180"/>
      <c r="F597" s="180"/>
      <c r="H597" s="180"/>
      <c r="I597" s="178"/>
      <c r="J597" s="180"/>
    </row>
    <row r="598" spans="1:10" s="179" customFormat="1">
      <c r="A598" s="178">
        <v>2953</v>
      </c>
      <c r="B598" s="180">
        <v>149896</v>
      </c>
      <c r="D598" s="180"/>
      <c r="F598" s="180"/>
      <c r="H598" s="180"/>
      <c r="I598" s="178"/>
      <c r="J598" s="180"/>
    </row>
    <row r="599" spans="1:10" s="179" customFormat="1">
      <c r="A599" s="178">
        <v>2954</v>
      </c>
      <c r="B599" s="180">
        <v>149906</v>
      </c>
      <c r="D599" s="180"/>
      <c r="F599" s="180"/>
      <c r="H599" s="180"/>
      <c r="I599" s="178"/>
      <c r="J599" s="180"/>
    </row>
    <row r="600" spans="1:10" s="179" customFormat="1">
      <c r="A600" s="178">
        <v>2955</v>
      </c>
      <c r="B600" s="180">
        <v>149917</v>
      </c>
      <c r="D600" s="180"/>
      <c r="F600" s="180"/>
      <c r="H600" s="180"/>
      <c r="I600" s="178"/>
      <c r="J600" s="180"/>
    </row>
    <row r="601" spans="1:10" s="179" customFormat="1">
      <c r="A601" s="178">
        <v>2956</v>
      </c>
      <c r="B601" s="180">
        <v>149927</v>
      </c>
      <c r="D601" s="180"/>
      <c r="F601" s="180"/>
      <c r="H601" s="180"/>
      <c r="I601" s="178"/>
      <c r="J601" s="180"/>
    </row>
    <row r="602" spans="1:10" s="179" customFormat="1">
      <c r="A602" s="178">
        <v>2957</v>
      </c>
      <c r="B602" s="180">
        <v>149936</v>
      </c>
      <c r="D602" s="180"/>
      <c r="F602" s="180"/>
      <c r="H602" s="180"/>
      <c r="I602" s="178"/>
      <c r="J602" s="180"/>
    </row>
    <row r="603" spans="1:10" s="179" customFormat="1">
      <c r="A603" s="178">
        <v>2958</v>
      </c>
      <c r="B603" s="180">
        <v>149946</v>
      </c>
      <c r="D603" s="180"/>
      <c r="F603" s="180"/>
      <c r="H603" s="180"/>
      <c r="I603" s="178"/>
      <c r="J603" s="180"/>
    </row>
    <row r="604" spans="1:10" s="179" customFormat="1">
      <c r="A604" s="178">
        <v>2959</v>
      </c>
      <c r="B604" s="180">
        <v>149955</v>
      </c>
      <c r="D604" s="180"/>
      <c r="F604" s="180"/>
      <c r="H604" s="180"/>
      <c r="I604" s="178"/>
      <c r="J604" s="180"/>
    </row>
    <row r="605" spans="1:10" s="179" customFormat="1">
      <c r="A605" s="178">
        <v>2960</v>
      </c>
      <c r="B605" s="180">
        <v>149964</v>
      </c>
      <c r="D605" s="180"/>
      <c r="F605" s="180"/>
      <c r="H605" s="180"/>
      <c r="I605" s="178"/>
      <c r="J605" s="180"/>
    </row>
    <row r="606" spans="1:10" s="179" customFormat="1">
      <c r="A606" s="178">
        <v>2961</v>
      </c>
      <c r="B606" s="180">
        <v>149973</v>
      </c>
      <c r="D606" s="180"/>
      <c r="F606" s="180"/>
      <c r="H606" s="180"/>
      <c r="I606" s="178"/>
      <c r="J606" s="180"/>
    </row>
    <row r="607" spans="1:10" s="179" customFormat="1">
      <c r="A607" s="178">
        <v>2962</v>
      </c>
      <c r="B607" s="180">
        <v>149981</v>
      </c>
      <c r="D607" s="180"/>
      <c r="F607" s="180"/>
      <c r="H607" s="180"/>
      <c r="I607" s="178"/>
      <c r="J607" s="180"/>
    </row>
    <row r="608" spans="1:10" s="179" customFormat="1">
      <c r="A608" s="178">
        <v>2963</v>
      </c>
      <c r="B608" s="180">
        <v>149989</v>
      </c>
      <c r="D608" s="180"/>
      <c r="F608" s="180"/>
      <c r="H608" s="180"/>
      <c r="I608" s="178"/>
      <c r="J608" s="180"/>
    </row>
    <row r="609" spans="1:10" s="179" customFormat="1">
      <c r="A609" s="178">
        <v>2964</v>
      </c>
      <c r="B609" s="180">
        <v>149997</v>
      </c>
      <c r="D609" s="180"/>
      <c r="F609" s="180"/>
      <c r="H609" s="180"/>
      <c r="I609" s="178"/>
      <c r="J609" s="180"/>
    </row>
    <row r="610" spans="1:10" s="179" customFormat="1">
      <c r="A610" s="178">
        <v>2965</v>
      </c>
      <c r="B610" s="180">
        <v>150004</v>
      </c>
      <c r="D610" s="180"/>
      <c r="F610" s="180"/>
      <c r="H610" s="180"/>
      <c r="I610" s="178"/>
      <c r="J610" s="180"/>
    </row>
    <row r="611" spans="1:10" s="179" customFormat="1">
      <c r="A611" s="178">
        <v>2966</v>
      </c>
      <c r="B611" s="180">
        <v>150011</v>
      </c>
      <c r="D611" s="180"/>
      <c r="F611" s="180"/>
      <c r="H611" s="180"/>
      <c r="I611" s="178"/>
      <c r="J611" s="180"/>
    </row>
    <row r="612" spans="1:10" s="179" customFormat="1">
      <c r="A612" s="178">
        <v>2967</v>
      </c>
      <c r="B612" s="180">
        <v>150017</v>
      </c>
      <c r="D612" s="180"/>
      <c r="F612" s="180"/>
      <c r="H612" s="180"/>
      <c r="I612" s="178"/>
      <c r="J612" s="180"/>
    </row>
    <row r="613" spans="1:10" s="179" customFormat="1">
      <c r="A613" s="178">
        <v>2968</v>
      </c>
      <c r="B613" s="180">
        <v>150023</v>
      </c>
      <c r="D613" s="180"/>
      <c r="F613" s="180"/>
      <c r="H613" s="180"/>
      <c r="I613" s="178"/>
      <c r="J613" s="180"/>
    </row>
    <row r="614" spans="1:10" s="179" customFormat="1">
      <c r="A614" s="178">
        <v>2969</v>
      </c>
      <c r="B614" s="180">
        <v>150029</v>
      </c>
      <c r="D614" s="180"/>
      <c r="F614" s="180"/>
      <c r="H614" s="180"/>
      <c r="I614" s="178"/>
      <c r="J614" s="180"/>
    </row>
    <row r="615" spans="1:10" s="179" customFormat="1">
      <c r="A615" s="178">
        <v>2970</v>
      </c>
      <c r="B615" s="180">
        <v>150034</v>
      </c>
      <c r="D615" s="180"/>
      <c r="F615" s="180"/>
      <c r="H615" s="180"/>
      <c r="I615" s="178"/>
      <c r="J615" s="180"/>
    </row>
    <row r="616" spans="1:10" s="179" customFormat="1">
      <c r="A616" s="178">
        <v>2971</v>
      </c>
      <c r="B616" s="180">
        <v>150038</v>
      </c>
      <c r="D616" s="180"/>
      <c r="F616" s="180"/>
      <c r="H616" s="180"/>
      <c r="I616" s="178"/>
      <c r="J616" s="180"/>
    </row>
    <row r="617" spans="1:10" s="179" customFormat="1">
      <c r="A617" s="178">
        <v>2972</v>
      </c>
      <c r="B617" s="180">
        <v>150042</v>
      </c>
      <c r="D617" s="180"/>
      <c r="F617" s="180"/>
      <c r="H617" s="180"/>
      <c r="I617" s="178"/>
      <c r="J617" s="180"/>
    </row>
    <row r="618" spans="1:10" s="179" customFormat="1">
      <c r="A618" s="178">
        <v>2973</v>
      </c>
      <c r="B618" s="180">
        <v>150045</v>
      </c>
      <c r="D618" s="180"/>
      <c r="F618" s="180"/>
      <c r="H618" s="180"/>
      <c r="I618" s="178"/>
      <c r="J618" s="180"/>
    </row>
    <row r="619" spans="1:10" s="179" customFormat="1">
      <c r="A619" s="178">
        <v>2974</v>
      </c>
      <c r="B619" s="180">
        <v>150046</v>
      </c>
      <c r="D619" s="180"/>
      <c r="F619" s="180"/>
      <c r="H619" s="180"/>
      <c r="I619" s="178"/>
      <c r="J619" s="18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Jauge</vt:lpstr>
      <vt:lpstr>stock</vt:lpstr>
      <vt:lpstr>appro et ventes</vt:lpstr>
      <vt:lpstr>CGPL</vt:lpstr>
      <vt:lpstr>Vrac1</vt:lpstr>
      <vt:lpstr>Vrac</vt:lpstr>
      <vt:lpstr>BUTANE</vt:lpstr>
      <vt:lpstr>Feuil1</vt:lpstr>
      <vt:lpstr>Bareme</vt:lpstr>
      <vt:lpstr>Vrac!Zone_d_impression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ossama chabaki</dc:creator>
  <cp:lastModifiedBy>Ayoub Hakem</cp:lastModifiedBy>
  <cp:lastPrinted>2026-06-18T06:33:42Z</cp:lastPrinted>
  <dcterms:created xsi:type="dcterms:W3CDTF">2025-01-13T22:38:14Z</dcterms:created>
  <dcterms:modified xsi:type="dcterms:W3CDTF">2026-06-18T06:42:35Z</dcterms:modified>
</cp:coreProperties>
</file>