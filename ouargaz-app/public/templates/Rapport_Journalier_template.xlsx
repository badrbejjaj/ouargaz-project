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codeName="ThisWorkbook" defaultThemeVersion="124226"/>
  <xr:revisionPtr revIDLastSave="0" documentId="13_ncr:1_{54DE5537-B54C-4E6A-AA98-7D3F88CA2C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nev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" i="1" l="1"/>
  <c r="C44" i="1"/>
  <c r="F27" i="1" l="1"/>
  <c r="G27" i="1" s="1"/>
  <c r="D27" i="1"/>
  <c r="E27" i="1" s="1"/>
  <c r="B27" i="1"/>
  <c r="C27" i="1" s="1"/>
  <c r="F26" i="1"/>
  <c r="G26" i="1" s="1"/>
  <c r="D26" i="1"/>
  <c r="E26" i="1" s="1"/>
  <c r="B26" i="1"/>
  <c r="C26" i="1" s="1"/>
  <c r="G25" i="1"/>
  <c r="E25" i="1"/>
  <c r="C25" i="1"/>
  <c r="F24" i="1"/>
  <c r="G24" i="1" s="1"/>
  <c r="D24" i="1"/>
  <c r="E24" i="1" s="1"/>
  <c r="B24" i="1"/>
  <c r="C24" i="1" s="1"/>
  <c r="G23" i="1"/>
  <c r="E23" i="1"/>
  <c r="C23" i="1"/>
  <c r="F22" i="1"/>
  <c r="G22" i="1" s="1"/>
  <c r="D22" i="1"/>
  <c r="E22" i="1" s="1"/>
  <c r="B22" i="1"/>
  <c r="C22" i="1" s="1"/>
  <c r="G21" i="1"/>
  <c r="E21" i="1"/>
  <c r="C21" i="1"/>
  <c r="H27" i="1" l="1"/>
  <c r="H25" i="1"/>
  <c r="H21" i="1"/>
  <c r="H24" i="1"/>
  <c r="H22" i="1"/>
  <c r="H26" i="1"/>
  <c r="H23" i="1"/>
  <c r="B11" i="1" l="1"/>
  <c r="C11" i="1"/>
  <c r="D11" i="1"/>
  <c r="E11" i="1"/>
  <c r="F10" i="1"/>
  <c r="E40" i="1" s="1"/>
  <c r="F36" i="1" s="1"/>
  <c r="A44" i="1" s="1"/>
  <c r="B37" i="1"/>
  <c r="F20" i="1"/>
  <c r="G20" i="1" s="1"/>
  <c r="D20" i="1"/>
  <c r="E20" i="1" s="1"/>
  <c r="B20" i="1"/>
  <c r="C20" i="1" s="1"/>
  <c r="F18" i="1"/>
  <c r="D18" i="1"/>
  <c r="B18" i="1"/>
  <c r="G30" i="1"/>
  <c r="E30" i="1"/>
  <c r="C30" i="1"/>
  <c r="G15" i="1"/>
  <c r="E15" i="1"/>
  <c r="C15" i="1"/>
  <c r="D32" i="1"/>
  <c r="F32" i="1"/>
  <c r="B32" i="1"/>
  <c r="G19" i="1"/>
  <c r="E19" i="1"/>
  <c r="C19" i="1"/>
  <c r="G17" i="1"/>
  <c r="E17" i="1"/>
  <c r="C17" i="1"/>
  <c r="D28" i="1" l="1"/>
  <c r="E28" i="1" s="1"/>
  <c r="G18" i="1"/>
  <c r="F28" i="1"/>
  <c r="G28" i="1" s="1"/>
  <c r="C18" i="1"/>
  <c r="B28" i="1"/>
  <c r="C28" i="1" s="1"/>
  <c r="F11" i="1"/>
  <c r="E18" i="1"/>
  <c r="H17" i="1"/>
  <c r="H19" i="1"/>
  <c r="D33" i="1"/>
  <c r="E33" i="1" s="1"/>
  <c r="E32" i="1"/>
  <c r="B33" i="1"/>
  <c r="C33" i="1" s="1"/>
  <c r="C32" i="1"/>
  <c r="G32" i="1"/>
  <c r="F33" i="1"/>
  <c r="G33" i="1" s="1"/>
  <c r="H20" i="1"/>
  <c r="H28" i="1" l="1"/>
  <c r="G44" i="1" s="1"/>
  <c r="H18" i="1"/>
  <c r="H44" i="1" s="1"/>
  <c r="H32" i="1"/>
  <c r="E44" i="1" s="1"/>
  <c r="F44" i="1" s="1"/>
  <c r="H33" i="1"/>
  <c r="H36" i="1" l="1"/>
  <c r="B44" i="1" s="1"/>
  <c r="D36" i="1"/>
  <c r="F37" i="1" l="1"/>
  <c r="D37" i="1" l="1"/>
  <c r="H37" i="1"/>
</calcChain>
</file>

<file path=xl/sharedStrings.xml><?xml version="1.0" encoding="utf-8"?>
<sst xmlns="http://schemas.openxmlformats.org/spreadsheetml/2006/main" count="65" uniqueCount="51">
  <si>
    <t>RAPPORT JOURNALIER</t>
  </si>
  <si>
    <t xml:space="preserve"> </t>
  </si>
  <si>
    <t>BUTANE</t>
  </si>
  <si>
    <t>SOMAS</t>
  </si>
  <si>
    <t>SOMAS Liv</t>
  </si>
  <si>
    <t>Dégazage</t>
  </si>
  <si>
    <t>TOTAL</t>
  </si>
  <si>
    <t>12 Kg</t>
  </si>
  <si>
    <t>03 Kg</t>
  </si>
  <si>
    <t>06 Kg</t>
  </si>
  <si>
    <t>CONDIT.</t>
  </si>
  <si>
    <t>VRAC</t>
  </si>
  <si>
    <t>Nbre</t>
  </si>
  <si>
    <t>Kg</t>
  </si>
  <si>
    <t>STCKS - FIN JOUR</t>
  </si>
  <si>
    <t>JOURNEE (Kg)</t>
  </si>
  <si>
    <t>CUMULE  (Kg)</t>
  </si>
  <si>
    <t>EXCE  / COUL</t>
  </si>
  <si>
    <t>Exc.Appro</t>
  </si>
  <si>
    <t>Exc.Expl</t>
  </si>
  <si>
    <t>OBSERVATIONS</t>
  </si>
  <si>
    <t xml:space="preserve">STOCK COMPTABLE FIN JOURNEE (Kg) : </t>
  </si>
  <si>
    <t>INFORMATION DOCUMENTEE</t>
  </si>
  <si>
    <t>Journée</t>
  </si>
  <si>
    <t>Cumul du mois</t>
  </si>
  <si>
    <t>AFRIQUIA GAZ</t>
  </si>
  <si>
    <t>TPZ</t>
  </si>
  <si>
    <t>VIVO ENERGY</t>
  </si>
  <si>
    <t>DIMAGAZ</t>
  </si>
  <si>
    <t>LIVRAISONS - Butane Conditionné</t>
  </si>
  <si>
    <t>Stocks - Début de journée</t>
  </si>
  <si>
    <t>Approvisionnement en Kg</t>
  </si>
  <si>
    <t>APPROVISIONNEMENTS - Butane VRAC</t>
  </si>
  <si>
    <t>OUARGAZ</t>
  </si>
  <si>
    <t>STOCKS GPL en début de journée - Conditionné et VRAC</t>
  </si>
  <si>
    <t>STOCKS GPL en fin de journée - Conditionné et VRAC</t>
  </si>
  <si>
    <t>Emplissage de la journée - Conditionné</t>
  </si>
  <si>
    <t>Synthèse - Boni / Coulage</t>
  </si>
  <si>
    <t>Cumul Général du mois  (KG)</t>
  </si>
  <si>
    <t>Livraisons Totales de la journée (Kg)</t>
  </si>
  <si>
    <t>Synthèse Bilan Matière</t>
  </si>
  <si>
    <t>Boni / Mali - Kg</t>
  </si>
  <si>
    <t>Boni / Mali - (%)</t>
  </si>
  <si>
    <t>Stock Condit.</t>
  </si>
  <si>
    <t>Stock VRAC</t>
  </si>
  <si>
    <t>Autonomie  - Jrs</t>
  </si>
  <si>
    <t>Emplissage - Kg</t>
  </si>
  <si>
    <t>Ventes Cumulées - Total</t>
  </si>
  <si>
    <t xml:space="preserve">Ventes  Cumulées du mois </t>
  </si>
  <si>
    <t>JOURNEE DU : 01 / 01  / 2025</t>
  </si>
  <si>
    <t>RAPPORT JOURNALIER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</si>
</sst>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 Black"/>
      <family val="2"/>
    </font>
    <font>
      <b/>
      <sz val="10"/>
      <name val="Arial"/>
      <family val="2"/>
    </font>
    <font>
      <b/>
      <sz val="9"/>
      <name val="Arial"/>
      <family val="2"/>
    </font>
    <font>
      <b/>
      <u/>
      <sz val="1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b/>
      <sz val="10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7E7"/>
        <bgColor indexed="64"/>
      </patternFill>
    </fill>
    <fill>
      <patternFill patternType="solid">
        <fgColor rgb="FFFAFDD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E5FF"/>
        <bgColor indexed="64"/>
      </patternFill>
    </fill>
    <fill>
      <patternFill patternType="solid">
        <fgColor rgb="FFE1FFEA"/>
        <bgColor indexed="64"/>
      </patternFill>
    </fill>
    <fill>
      <patternFill patternType="solid">
        <fgColor rgb="FFE4F7C9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2">
    <xf numFmtId="0" fontId="0" fillId="0" borderId="0" xfId="0"/>
    <xf numFmtId="0" fontId="0" fillId="2" borderId="0" xfId="0" applyFill="1"/>
    <xf numFmtId="3" fontId="0" fillId="2" borderId="0" xfId="0" applyNumberFormat="1" applyFill="1" applyAlignment="1">
      <alignment vertical="center"/>
    </xf>
    <xf numFmtId="0" fontId="6" fillId="2" borderId="32" xfId="0" applyFont="1" applyFill="1" applyBorder="1" applyAlignment="1">
      <alignment horizontal="left"/>
    </xf>
    <xf numFmtId="0" fontId="11" fillId="2" borderId="15" xfId="0" applyFont="1" applyFill="1" applyBorder="1" applyAlignment="1">
      <alignment horizontal="left"/>
    </xf>
    <xf numFmtId="0" fontId="0" fillId="2" borderId="0" xfId="0" applyFill="1" applyAlignment="1">
      <alignment horizontal="left"/>
    </xf>
    <xf numFmtId="0" fontId="6" fillId="3" borderId="1" xfId="0" applyFont="1" applyFill="1" applyBorder="1" applyAlignment="1">
      <alignment horizontal="left"/>
    </xf>
    <xf numFmtId="0" fontId="6" fillId="3" borderId="8" xfId="0" applyFont="1" applyFill="1" applyBorder="1" applyAlignment="1">
      <alignment horizontal="left"/>
    </xf>
    <xf numFmtId="0" fontId="6" fillId="3" borderId="18" xfId="0" applyFont="1" applyFill="1" applyBorder="1" applyAlignment="1">
      <alignment horizontal="left"/>
    </xf>
    <xf numFmtId="0" fontId="0" fillId="2" borderId="0" xfId="0" applyFill="1" applyAlignment="1">
      <alignment horizontal="center" vertical="center"/>
    </xf>
    <xf numFmtId="0" fontId="15" fillId="3" borderId="5" xfId="0" applyFont="1" applyFill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3" fontId="14" fillId="3" borderId="22" xfId="0" applyNumberFormat="1" applyFont="1" applyFill="1" applyBorder="1" applyAlignment="1">
      <alignment horizontal="center" vertical="center"/>
    </xf>
    <xf numFmtId="10" fontId="14" fillId="3" borderId="24" xfId="2" applyNumberFormat="1" applyFont="1" applyFill="1" applyBorder="1" applyAlignment="1">
      <alignment horizontal="center" vertical="center"/>
    </xf>
    <xf numFmtId="3" fontId="14" fillId="3" borderId="25" xfId="0" applyNumberFormat="1" applyFont="1" applyFill="1" applyBorder="1" applyAlignment="1">
      <alignment horizontal="center" vertical="center"/>
    </xf>
    <xf numFmtId="3" fontId="14" fillId="3" borderId="23" xfId="0" applyNumberFormat="1" applyFont="1" applyFill="1" applyBorder="1" applyAlignment="1">
      <alignment horizontal="center" vertical="center"/>
    </xf>
    <xf numFmtId="3" fontId="0" fillId="3" borderId="29" xfId="0" applyNumberFormat="1" applyFill="1" applyBorder="1" applyAlignment="1">
      <alignment horizontal="center" vertical="center"/>
    </xf>
    <xf numFmtId="0" fontId="4" fillId="4" borderId="16" xfId="0" applyFont="1" applyFill="1" applyBorder="1"/>
    <xf numFmtId="0" fontId="4" fillId="4" borderId="27" xfId="0" applyFont="1" applyFill="1" applyBorder="1"/>
    <xf numFmtId="0" fontId="6" fillId="5" borderId="41" xfId="0" applyFont="1" applyFill="1" applyBorder="1" applyAlignment="1">
      <alignment horizontal="left"/>
    </xf>
    <xf numFmtId="0" fontId="3" fillId="5" borderId="20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6" fillId="5" borderId="42" xfId="0" applyFont="1" applyFill="1" applyBorder="1" applyAlignment="1">
      <alignment horizontal="left"/>
    </xf>
    <xf numFmtId="0" fontId="3" fillId="5" borderId="13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wrapText="1"/>
    </xf>
    <xf numFmtId="3" fontId="7" fillId="5" borderId="22" xfId="0" applyNumberFormat="1" applyFont="1" applyFill="1" applyBorder="1" applyAlignment="1">
      <alignment horizontal="center" vertical="center"/>
    </xf>
    <xf numFmtId="3" fontId="3" fillId="5" borderId="23" xfId="0" applyNumberFormat="1" applyFont="1" applyFill="1" applyBorder="1" applyAlignment="1">
      <alignment horizontal="center" vertical="center"/>
    </xf>
    <xf numFmtId="3" fontId="8" fillId="5" borderId="22" xfId="0" applyNumberFormat="1" applyFont="1" applyFill="1" applyBorder="1" applyAlignment="1">
      <alignment horizontal="center" vertical="center"/>
    </xf>
    <xf numFmtId="0" fontId="6" fillId="6" borderId="32" xfId="0" applyFont="1" applyFill="1" applyBorder="1" applyAlignment="1">
      <alignment horizontal="left"/>
    </xf>
    <xf numFmtId="3" fontId="6" fillId="6" borderId="5" xfId="0" applyNumberFormat="1" applyFont="1" applyFill="1" applyBorder="1" applyAlignment="1">
      <alignment horizontal="center" vertical="center"/>
    </xf>
    <xf numFmtId="3" fontId="6" fillId="6" borderId="6" xfId="0" applyNumberFormat="1" applyFont="1" applyFill="1" applyBorder="1" applyAlignment="1">
      <alignment horizontal="center" vertical="center"/>
    </xf>
    <xf numFmtId="3" fontId="6" fillId="6" borderId="9" xfId="0" applyNumberFormat="1" applyFont="1" applyFill="1" applyBorder="1" applyAlignment="1">
      <alignment horizontal="center" vertical="center"/>
    </xf>
    <xf numFmtId="0" fontId="6" fillId="6" borderId="26" xfId="0" applyFont="1" applyFill="1" applyBorder="1" applyAlignment="1">
      <alignment horizontal="left"/>
    </xf>
    <xf numFmtId="3" fontId="3" fillId="6" borderId="20" xfId="0" applyNumberFormat="1" applyFont="1" applyFill="1" applyBorder="1" applyAlignment="1">
      <alignment horizontal="center" vertical="center"/>
    </xf>
    <xf numFmtId="3" fontId="3" fillId="6" borderId="28" xfId="0" applyNumberFormat="1" applyFont="1" applyFill="1" applyBorder="1" applyAlignment="1">
      <alignment horizontal="center" vertical="center"/>
    </xf>
    <xf numFmtId="3" fontId="0" fillId="6" borderId="28" xfId="0" applyNumberFormat="1" applyFill="1" applyBorder="1" applyAlignment="1">
      <alignment horizontal="center" vertical="center"/>
    </xf>
    <xf numFmtId="3" fontId="0" fillId="6" borderId="21" xfId="0" applyNumberForma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left"/>
    </xf>
    <xf numFmtId="3" fontId="0" fillId="6" borderId="29" xfId="0" applyNumberFormat="1" applyFill="1" applyBorder="1" applyAlignment="1">
      <alignment horizontal="center" vertical="center"/>
    </xf>
    <xf numFmtId="3" fontId="0" fillId="6" borderId="31" xfId="0" applyNumberFormat="1" applyFill="1" applyBorder="1" applyAlignment="1">
      <alignment horizontal="center" vertical="center"/>
    </xf>
    <xf numFmtId="3" fontId="0" fillId="6" borderId="30" xfId="0" applyNumberForma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left"/>
    </xf>
    <xf numFmtId="3" fontId="3" fillId="2" borderId="20" xfId="0" applyNumberFormat="1" applyFont="1" applyFill="1" applyBorder="1" applyAlignment="1">
      <alignment horizontal="center" vertical="center"/>
    </xf>
    <xf numFmtId="3" fontId="0" fillId="2" borderId="21" xfId="0" applyNumberFormat="1" applyFill="1" applyBorder="1" applyAlignment="1">
      <alignment horizontal="center" vertical="center"/>
    </xf>
    <xf numFmtId="3" fontId="3" fillId="2" borderId="19" xfId="0" applyNumberFormat="1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left"/>
    </xf>
    <xf numFmtId="3" fontId="0" fillId="2" borderId="29" xfId="0" applyNumberFormat="1" applyFill="1" applyBorder="1" applyAlignment="1">
      <alignment horizontal="center" vertical="center"/>
    </xf>
    <xf numFmtId="3" fontId="0" fillId="2" borderId="30" xfId="0" applyNumberFormat="1" applyFill="1" applyBorder="1" applyAlignment="1">
      <alignment horizontal="center" vertical="center"/>
    </xf>
    <xf numFmtId="3" fontId="0" fillId="2" borderId="33" xfId="0" applyNumberForma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left"/>
    </xf>
    <xf numFmtId="3" fontId="3" fillId="3" borderId="20" xfId="0" applyNumberFormat="1" applyFont="1" applyFill="1" applyBorder="1" applyAlignment="1">
      <alignment horizontal="center" vertical="center"/>
    </xf>
    <xf numFmtId="3" fontId="0" fillId="3" borderId="21" xfId="0" applyNumberFormat="1" applyFill="1" applyBorder="1" applyAlignment="1">
      <alignment horizontal="center" vertical="center"/>
    </xf>
    <xf numFmtId="3" fontId="3" fillId="3" borderId="19" xfId="0" applyNumberFormat="1" applyFont="1" applyFill="1" applyBorder="1" applyAlignment="1">
      <alignment horizontal="center" vertical="center"/>
    </xf>
    <xf numFmtId="0" fontId="6" fillId="3" borderId="33" xfId="0" applyFont="1" applyFill="1" applyBorder="1" applyAlignment="1">
      <alignment horizontal="left"/>
    </xf>
    <xf numFmtId="3" fontId="0" fillId="3" borderId="30" xfId="0" applyNumberFormat="1" applyFill="1" applyBorder="1" applyAlignment="1">
      <alignment horizontal="center" vertical="center"/>
    </xf>
    <xf numFmtId="3" fontId="0" fillId="3" borderId="33" xfId="0" applyNumberFormat="1" applyFill="1" applyBorder="1" applyAlignment="1">
      <alignment horizontal="center" vertical="center"/>
    </xf>
    <xf numFmtId="0" fontId="6" fillId="7" borderId="15" xfId="0" applyFont="1" applyFill="1" applyBorder="1" applyAlignment="1">
      <alignment horizontal="left" vertical="center" wrapText="1"/>
    </xf>
    <xf numFmtId="3" fontId="3" fillId="7" borderId="5" xfId="0" applyNumberFormat="1" applyFont="1" applyFill="1" applyBorder="1" applyAlignment="1">
      <alignment horizontal="center" vertical="center"/>
    </xf>
    <xf numFmtId="3" fontId="12" fillId="7" borderId="7" xfId="0" applyNumberFormat="1" applyFont="1" applyFill="1" applyBorder="1" applyAlignment="1">
      <alignment horizontal="center" vertical="center"/>
    </xf>
    <xf numFmtId="3" fontId="3" fillId="7" borderId="41" xfId="0" applyNumberFormat="1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left" wrapText="1"/>
    </xf>
    <xf numFmtId="3" fontId="3" fillId="7" borderId="22" xfId="0" applyNumberFormat="1" applyFont="1" applyFill="1" applyBorder="1" applyAlignment="1">
      <alignment horizontal="center" vertical="center"/>
    </xf>
    <xf numFmtId="3" fontId="12" fillId="7" borderId="23" xfId="0" applyNumberFormat="1" applyFont="1" applyFill="1" applyBorder="1" applyAlignment="1">
      <alignment horizontal="center" vertical="center"/>
    </xf>
    <xf numFmtId="3" fontId="3" fillId="7" borderId="32" xfId="0" applyNumberFormat="1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left"/>
    </xf>
    <xf numFmtId="3" fontId="7" fillId="8" borderId="22" xfId="0" applyNumberFormat="1" applyFont="1" applyFill="1" applyBorder="1" applyAlignment="1">
      <alignment horizontal="center" vertical="center"/>
    </xf>
    <xf numFmtId="3" fontId="3" fillId="8" borderId="23" xfId="0" applyNumberFormat="1" applyFont="1" applyFill="1" applyBorder="1" applyAlignment="1">
      <alignment horizontal="center" vertical="center"/>
    </xf>
    <xf numFmtId="3" fontId="8" fillId="8" borderId="32" xfId="0" applyNumberFormat="1" applyFont="1" applyFill="1" applyBorder="1" applyAlignment="1">
      <alignment horizontal="center" vertical="center"/>
    </xf>
    <xf numFmtId="3" fontId="3" fillId="8" borderId="4" xfId="0" applyNumberFormat="1" applyFont="1" applyFill="1" applyBorder="1" applyAlignment="1">
      <alignment horizontal="center" vertical="center"/>
    </xf>
    <xf numFmtId="0" fontId="6" fillId="9" borderId="26" xfId="0" applyFont="1" applyFill="1" applyBorder="1" applyAlignment="1">
      <alignment horizontal="left"/>
    </xf>
    <xf numFmtId="3" fontId="3" fillId="9" borderId="20" xfId="0" applyNumberFormat="1" applyFont="1" applyFill="1" applyBorder="1" applyAlignment="1">
      <alignment horizontal="center" vertical="center"/>
    </xf>
    <xf numFmtId="3" fontId="7" fillId="9" borderId="21" xfId="0" applyNumberFormat="1" applyFont="1" applyFill="1" applyBorder="1" applyAlignment="1">
      <alignment horizontal="center" vertical="center"/>
    </xf>
    <xf numFmtId="3" fontId="7" fillId="9" borderId="19" xfId="0" applyNumberFormat="1" applyFont="1" applyFill="1" applyBorder="1" applyAlignment="1">
      <alignment horizontal="center" vertical="center"/>
    </xf>
    <xf numFmtId="0" fontId="6" fillId="9" borderId="14" xfId="0" applyFont="1" applyFill="1" applyBorder="1" applyAlignment="1">
      <alignment horizontal="left"/>
    </xf>
    <xf numFmtId="3" fontId="7" fillId="9" borderId="29" xfId="0" applyNumberFormat="1" applyFont="1" applyFill="1" applyBorder="1" applyAlignment="1">
      <alignment horizontal="center" vertical="center"/>
    </xf>
    <xf numFmtId="3" fontId="7" fillId="9" borderId="30" xfId="0" applyNumberFormat="1" applyFont="1" applyFill="1" applyBorder="1" applyAlignment="1">
      <alignment horizontal="center" vertical="center"/>
    </xf>
    <xf numFmtId="3" fontId="7" fillId="9" borderId="33" xfId="0" applyNumberFormat="1" applyFont="1" applyFill="1" applyBorder="1" applyAlignment="1">
      <alignment horizontal="center" vertical="center"/>
    </xf>
    <xf numFmtId="3" fontId="14" fillId="10" borderId="43" xfId="0" applyNumberFormat="1" applyFont="1" applyFill="1" applyBorder="1" applyAlignment="1">
      <alignment horizontal="center" vertical="center"/>
    </xf>
    <xf numFmtId="3" fontId="14" fillId="10" borderId="44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5" fillId="10" borderId="41" xfId="0" applyFont="1" applyFill="1" applyBorder="1" applyAlignment="1">
      <alignment horizontal="center" vertical="center" wrapText="1"/>
    </xf>
    <xf numFmtId="0" fontId="15" fillId="10" borderId="4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/>
    </xf>
    <xf numFmtId="0" fontId="6" fillId="9" borderId="3" xfId="0" applyFont="1" applyFill="1" applyBorder="1" applyAlignment="1">
      <alignment horizontal="center"/>
    </xf>
    <xf numFmtId="0" fontId="6" fillId="9" borderId="4" xfId="0" applyFont="1" applyFill="1" applyBorder="1" applyAlignment="1">
      <alignment horizontal="center"/>
    </xf>
    <xf numFmtId="3" fontId="9" fillId="9" borderId="41" xfId="0" applyNumberFormat="1" applyFont="1" applyFill="1" applyBorder="1" applyAlignment="1">
      <alignment horizontal="center" vertical="center"/>
    </xf>
    <xf numFmtId="3" fontId="9" fillId="9" borderId="42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8" borderId="10" xfId="0" applyFont="1" applyFill="1" applyBorder="1" applyAlignment="1">
      <alignment horizontal="center"/>
    </xf>
    <xf numFmtId="0" fontId="6" fillId="8" borderId="11" xfId="0" applyFont="1" applyFill="1" applyBorder="1" applyAlignment="1">
      <alignment horizontal="center"/>
    </xf>
    <xf numFmtId="3" fontId="3" fillId="6" borderId="1" xfId="0" applyNumberFormat="1" applyFont="1" applyFill="1" applyBorder="1" applyAlignment="1">
      <alignment horizontal="center" vertical="center"/>
    </xf>
    <xf numFmtId="3" fontId="3" fillId="6" borderId="10" xfId="0" applyNumberFormat="1" applyFont="1" applyFill="1" applyBorder="1" applyAlignment="1">
      <alignment horizontal="center" vertical="center"/>
    </xf>
    <xf numFmtId="3" fontId="3" fillId="6" borderId="11" xfId="0" applyNumberFormat="1" applyFont="1" applyFill="1" applyBorder="1" applyAlignment="1">
      <alignment horizontal="center" vertical="center"/>
    </xf>
    <xf numFmtId="3" fontId="0" fillId="6" borderId="20" xfId="0" applyNumberFormat="1" applyFill="1" applyBorder="1" applyAlignment="1">
      <alignment horizontal="center" vertical="center"/>
    </xf>
    <xf numFmtId="3" fontId="0" fillId="6" borderId="28" xfId="0" applyNumberFormat="1" applyFill="1" applyBorder="1" applyAlignment="1">
      <alignment horizontal="center" vertical="center"/>
    </xf>
    <xf numFmtId="3" fontId="0" fillId="6" borderId="21" xfId="0" applyNumberFormat="1" applyFill="1" applyBorder="1" applyAlignment="1">
      <alignment horizontal="center" vertical="center"/>
    </xf>
    <xf numFmtId="3" fontId="0" fillId="6" borderId="29" xfId="0" applyNumberFormat="1" applyFill="1" applyBorder="1" applyAlignment="1">
      <alignment horizontal="center" vertical="center"/>
    </xf>
    <xf numFmtId="3" fontId="0" fillId="6" borderId="31" xfId="0" applyNumberFormat="1" applyFill="1" applyBorder="1" applyAlignment="1">
      <alignment horizontal="center" vertical="center"/>
    </xf>
    <xf numFmtId="3" fontId="0" fillId="6" borderId="30" xfId="0" applyNumberForma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10" fontId="0" fillId="3" borderId="8" xfId="2" applyNumberFormat="1" applyFont="1" applyFill="1" applyBorder="1" applyAlignment="1">
      <alignment horizontal="center" vertical="center"/>
    </xf>
    <xf numFmtId="10" fontId="0" fillId="3" borderId="39" xfId="2" applyNumberFormat="1" applyFont="1" applyFill="1" applyBorder="1" applyAlignment="1">
      <alignment horizontal="center" vertical="center"/>
    </xf>
    <xf numFmtId="3" fontId="10" fillId="3" borderId="5" xfId="0" applyNumberFormat="1" applyFont="1" applyFill="1" applyBorder="1" applyAlignment="1">
      <alignment horizontal="center" vertical="center"/>
    </xf>
    <xf numFmtId="3" fontId="10" fillId="3" borderId="7" xfId="0" applyNumberFormat="1" applyFont="1" applyFill="1" applyBorder="1" applyAlignment="1">
      <alignment horizontal="center" vertical="center"/>
    </xf>
    <xf numFmtId="3" fontId="10" fillId="3" borderId="38" xfId="0" applyNumberFormat="1" applyFont="1" applyFill="1" applyBorder="1" applyAlignment="1">
      <alignment horizontal="center" vertical="center"/>
    </xf>
    <xf numFmtId="3" fontId="10" fillId="3" borderId="9" xfId="0" applyNumberFormat="1" applyFont="1" applyFill="1" applyBorder="1" applyAlignment="1">
      <alignment horizontal="center" vertical="center"/>
    </xf>
    <xf numFmtId="3" fontId="10" fillId="3" borderId="6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/>
    </xf>
    <xf numFmtId="0" fontId="2" fillId="4" borderId="10" xfId="0" applyFont="1" applyFill="1" applyBorder="1" applyAlignment="1">
      <alignment horizontal="left"/>
    </xf>
    <xf numFmtId="0" fontId="2" fillId="4" borderId="11" xfId="0" applyFont="1" applyFill="1" applyBorder="1" applyAlignment="1">
      <alignment horizontal="left"/>
    </xf>
    <xf numFmtId="0" fontId="3" fillId="4" borderId="15" xfId="0" applyFont="1" applyFill="1" applyBorder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17" xfId="0" applyFont="1" applyFill="1" applyBorder="1" applyAlignment="1">
      <alignment horizontal="left"/>
    </xf>
    <xf numFmtId="0" fontId="4" fillId="4" borderId="15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4" fillId="4" borderId="17" xfId="0" applyFont="1" applyFill="1" applyBorder="1" applyAlignment="1">
      <alignment horizontal="left"/>
    </xf>
    <xf numFmtId="0" fontId="4" fillId="4" borderId="18" xfId="0" applyFont="1" applyFill="1" applyBorder="1" applyAlignment="1">
      <alignment horizontal="left"/>
    </xf>
    <xf numFmtId="0" fontId="4" fillId="4" borderId="16" xfId="0" applyFont="1" applyFill="1" applyBorder="1" applyAlignment="1">
      <alignment horizontal="left"/>
    </xf>
    <xf numFmtId="165" fontId="0" fillId="3" borderId="20" xfId="1" applyNumberFormat="1" applyFont="1" applyFill="1" applyBorder="1" applyAlignment="1">
      <alignment horizontal="center" vertical="center"/>
    </xf>
    <xf numFmtId="165" fontId="0" fillId="3" borderId="21" xfId="1" applyNumberFormat="1" applyFont="1" applyFill="1" applyBorder="1" applyAlignment="1">
      <alignment horizontal="center" vertical="center"/>
    </xf>
    <xf numFmtId="3" fontId="3" fillId="3" borderId="36" xfId="0" applyNumberFormat="1" applyFont="1" applyFill="1" applyBorder="1" applyAlignment="1">
      <alignment horizontal="center" vertical="center"/>
    </xf>
    <xf numFmtId="3" fontId="3" fillId="3" borderId="34" xfId="0" applyNumberFormat="1" applyFont="1" applyFill="1" applyBorder="1" applyAlignment="1">
      <alignment horizontal="center" vertical="center"/>
    </xf>
    <xf numFmtId="3" fontId="0" fillId="3" borderId="20" xfId="0" applyNumberFormat="1" applyFill="1" applyBorder="1" applyAlignment="1">
      <alignment horizontal="center" vertical="center"/>
    </xf>
    <xf numFmtId="3" fontId="0" fillId="3" borderId="34" xfId="0" applyNumberForma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0" fillId="2" borderId="18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3" fontId="3" fillId="2" borderId="11" xfId="0" applyNumberFormat="1" applyFont="1" applyFill="1" applyBorder="1" applyAlignment="1">
      <alignment horizontal="center" vertical="center"/>
    </xf>
    <xf numFmtId="3" fontId="3" fillId="2" borderId="17" xfId="0" applyNumberFormat="1" applyFont="1" applyFill="1" applyBorder="1" applyAlignment="1">
      <alignment horizontal="center" vertical="center"/>
    </xf>
    <xf numFmtId="3" fontId="3" fillId="2" borderId="27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3" fontId="0" fillId="2" borderId="2" xfId="0" quotePrefix="1" applyNumberFormat="1" applyFill="1" applyBorder="1" applyAlignment="1">
      <alignment horizontal="center" vertical="center"/>
    </xf>
    <xf numFmtId="3" fontId="0" fillId="2" borderId="3" xfId="0" quotePrefix="1" applyNumberFormat="1" applyFill="1" applyBorder="1" applyAlignment="1">
      <alignment horizontal="center" vertical="center"/>
    </xf>
    <xf numFmtId="3" fontId="0" fillId="2" borderId="4" xfId="0" quotePrefix="1" applyNumberFormat="1" applyFill="1" applyBorder="1" applyAlignment="1">
      <alignment horizontal="center" vertical="center"/>
    </xf>
    <xf numFmtId="3" fontId="3" fillId="2" borderId="18" xfId="0" applyNumberFormat="1" applyFont="1" applyFill="1" applyBorder="1" applyAlignment="1">
      <alignment horizontal="center" vertical="center"/>
    </xf>
    <xf numFmtId="3" fontId="3" fillId="2" borderId="16" xfId="0" applyNumberFormat="1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3" fontId="3" fillId="2" borderId="2" xfId="0" applyNumberFormat="1" applyFont="1" applyFill="1" applyBorder="1" applyAlignment="1">
      <alignment horizontal="center" vertical="center"/>
    </xf>
    <xf numFmtId="3" fontId="3" fillId="2" borderId="3" xfId="0" applyNumberFormat="1" applyFont="1" applyFill="1" applyBorder="1" applyAlignment="1">
      <alignment horizontal="center" vertical="center"/>
    </xf>
    <xf numFmtId="3" fontId="3" fillId="2" borderId="4" xfId="0" applyNumberFormat="1" applyFont="1" applyFill="1" applyBorder="1" applyAlignment="1">
      <alignment horizontal="center" vertical="center"/>
    </xf>
    <xf numFmtId="165" fontId="0" fillId="3" borderId="29" xfId="1" applyNumberFormat="1" applyFont="1" applyFill="1" applyBorder="1" applyAlignment="1">
      <alignment horizontal="center" vertical="center"/>
    </xf>
    <xf numFmtId="165" fontId="0" fillId="3" borderId="30" xfId="1" applyNumberFormat="1" applyFont="1" applyFill="1" applyBorder="1" applyAlignment="1">
      <alignment horizontal="center" vertical="center"/>
    </xf>
    <xf numFmtId="3" fontId="3" fillId="3" borderId="37" xfId="0" applyNumberFormat="1" applyFont="1" applyFill="1" applyBorder="1" applyAlignment="1">
      <alignment horizontal="center" vertical="center"/>
    </xf>
    <xf numFmtId="3" fontId="3" fillId="3" borderId="35" xfId="0" applyNumberFormat="1" applyFont="1" applyFill="1" applyBorder="1" applyAlignment="1">
      <alignment horizontal="center" vertical="center"/>
    </xf>
    <xf numFmtId="3" fontId="0" fillId="3" borderId="29" xfId="0" applyNumberFormat="1" applyFill="1" applyBorder="1" applyAlignment="1">
      <alignment horizontal="center" vertical="center"/>
    </xf>
    <xf numFmtId="3" fontId="0" fillId="3" borderId="35" xfId="0" applyNumberFormat="1" applyFill="1" applyBorder="1" applyAlignment="1">
      <alignment horizontal="center" vertical="center"/>
    </xf>
    <xf numFmtId="10" fontId="0" fillId="3" borderId="14" xfId="2" applyNumberFormat="1" applyFont="1" applyFill="1" applyBorder="1" applyAlignment="1">
      <alignment horizontal="center" vertical="center"/>
    </xf>
    <xf numFmtId="10" fontId="0" fillId="3" borderId="40" xfId="2" applyNumberFormat="1" applyFont="1" applyFill="1" applyBorder="1" applyAlignment="1">
      <alignment horizontal="center" vertical="center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9" defaultPivotStyle="PivotStyleLight16"/>
  <colors>
    <mruColors>
      <color rgb="FFE4F7C9"/>
      <color rgb="FFE1FFEA"/>
      <color rgb="FFF8E5FF"/>
      <color rgb="FFFED6D6"/>
      <color rgb="FFD6FEF2"/>
      <color rgb="FFC7F6B8"/>
      <color rgb="FFEBE1FF"/>
      <color rgb="FFFAFDD1"/>
      <color rgb="FFFFE7E7"/>
      <color rgb="FFFFF7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Times New Roman" pitchFamily="18" charset="0"/>
                <a:cs typeface="Times New Roman" pitchFamily="18" charset="0"/>
              </a:defRPr>
            </a:pPr>
            <a:r>
              <a:rPr lang="en-US">
                <a:latin typeface="Times New Roman" pitchFamily="18" charset="0"/>
                <a:cs typeface="Times New Roman" pitchFamily="18" charset="0"/>
              </a:rPr>
              <a:t>Répartition des ventes de la journée par marque</a:t>
            </a:r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v>Ventes de la journée</c:v>
          </c:tx>
          <c:cat>
            <c:strRef>
              <c:f>(Canevas!$A$17,Canevas!$A$19,Canevas!$A$21,Canevas!$A$23,Canevas!$A$25)</c:f>
              <c:strCache>
                <c:ptCount val="5"/>
                <c:pt idx="0">
                  <c:v>TOTAL</c:v>
                </c:pt>
                <c:pt idx="1">
                  <c:v>AFRIQUIA GAZ</c:v>
                </c:pt>
                <c:pt idx="2">
                  <c:v>TPZ</c:v>
                </c:pt>
                <c:pt idx="3">
                  <c:v>VIVO ENERGY</c:v>
                </c:pt>
                <c:pt idx="4">
                  <c:v>DIMAGAZ</c:v>
                </c:pt>
              </c:strCache>
            </c:strRef>
          </c:cat>
          <c:val>
            <c:numRef>
              <c:f>(Canevas!$H$17,Canevas!$H$19,Canevas!$H$21,Canevas!$H$23,Canevas!$H$25)</c:f>
              <c:numCache>
                <c:formatCode>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22-424E-99CE-CE084045D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rtl="0">
            <a:defRPr b="1" i="1">
              <a:latin typeface="Times New Roman" pitchFamily="18" charset="0"/>
              <a:cs typeface="Times New Roman" pitchFamily="18" charset="0"/>
            </a:defRPr>
          </a:pPr>
          <a:endParaRPr lang="fr-F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Times New Roman" pitchFamily="18" charset="0"/>
                <a:cs typeface="Times New Roman" pitchFamily="18" charset="0"/>
              </a:defRPr>
            </a:pPr>
            <a:r>
              <a:rPr lang="en-US">
                <a:latin typeface="Times New Roman" pitchFamily="18" charset="0"/>
                <a:cs typeface="Times New Roman" pitchFamily="18" charset="0"/>
              </a:rPr>
              <a:t>Répartition des ventes cumulées du mois par marque</a:t>
            </a:r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v>Ventes de la journée</c:v>
          </c:tx>
          <c:cat>
            <c:strRef>
              <c:f>(Canevas!$A$17,Canevas!$A$19,Canevas!$A$21,Canevas!$A$23,Canevas!$A$25)</c:f>
              <c:strCache>
                <c:ptCount val="5"/>
                <c:pt idx="0">
                  <c:v>TOTAL</c:v>
                </c:pt>
                <c:pt idx="1">
                  <c:v>AFRIQUIA GAZ</c:v>
                </c:pt>
                <c:pt idx="2">
                  <c:v>TPZ</c:v>
                </c:pt>
                <c:pt idx="3">
                  <c:v>VIVO ENERGY</c:v>
                </c:pt>
                <c:pt idx="4">
                  <c:v>DIMAGAZ</c:v>
                </c:pt>
              </c:strCache>
            </c:strRef>
          </c:cat>
          <c:val>
            <c:numRef>
              <c:f>(Canevas!$H$17,Canevas!$H$19,Canevas!$H$21,Canevas!$H$23,Canevas!$H$25)</c:f>
              <c:numCache>
                <c:formatCode>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23-4ED0-B46C-E00B2C757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rtl="0">
            <a:defRPr b="1" i="1">
              <a:latin typeface="Times New Roman" pitchFamily="18" charset="0"/>
              <a:cs typeface="Times New Roman" pitchFamily="18" charset="0"/>
            </a:defRPr>
          </a:pPr>
          <a:endParaRPr lang="fr-FR"/>
        </a:p>
      </c:txPr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19049</xdr:colOff>
      <xdr:row>5</xdr:row>
      <xdr:rowOff>19051</xdr:rowOff>
    </xdr:from>
    <xdr:to>
      <xdr:col>18</xdr:col>
      <xdr:colOff>19050</xdr:colOff>
      <xdr:row>20</xdr:row>
      <xdr:rowOff>114301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21</xdr:row>
      <xdr:rowOff>161925</xdr:rowOff>
    </xdr:from>
    <xdr:to>
      <xdr:col>18</xdr:col>
      <xdr:colOff>9525</xdr:colOff>
      <xdr:row>35</xdr:row>
      <xdr:rowOff>171450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P44"/>
  <sheetViews>
    <sheetView tabSelected="1" zoomScaleNormal="100" workbookViewId="0">
      <selection activeCell="A3" sqref="A3:I3"/>
    </sheetView>
  </sheetViews>
  <sheetFormatPr baseColWidth="10" defaultColWidth="9.140625" defaultRowHeight="15" x14ac:dyDescent="0.25"/>
  <cols>
    <col min="1" max="1" width="13.5703125" style="5" customWidth="1"/>
    <col min="2" max="8" width="9.140625" style="1"/>
    <col min="9" max="9" width="9.140625" style="1" customWidth="1"/>
    <col min="10" max="10" width="4.42578125" style="1" customWidth="1"/>
    <col min="11" max="16" width="10.5703125" style="9" customWidth="1"/>
    <col min="17" max="16384" width="9.140625" style="1"/>
  </cols>
  <sheetData>
    <row r="1" spans="1:16" ht="18.75" x14ac:dyDescent="0.4">
      <c r="A1" s="121" t="s">
        <v>50</v>
      </c>
      <c r="B1" s="122"/>
      <c r="C1" s="122"/>
      <c r="D1" s="122"/>
      <c r="E1" s="122"/>
      <c r="F1" s="122"/>
      <c r="G1" s="122"/>
      <c r="H1" s="122"/>
      <c r="I1" s="123"/>
    </row>
    <row r="2" spans="1:16" x14ac:dyDescent="0.25">
      <c r="A2" s="124"/>
      <c r="B2" s="125"/>
      <c r="C2" s="125"/>
      <c r="D2" s="125"/>
      <c r="E2" s="125"/>
      <c r="F2" s="125"/>
      <c r="G2" s="125"/>
      <c r="H2" s="125"/>
      <c r="I2" s="126"/>
      <c r="K2" s="1"/>
      <c r="L2" s="1"/>
      <c r="M2" s="1"/>
      <c r="N2" s="1"/>
      <c r="O2" s="1"/>
      <c r="P2" s="1"/>
    </row>
    <row r="3" spans="1:16" x14ac:dyDescent="0.25">
      <c r="A3" s="127" t="s">
        <v>33</v>
      </c>
      <c r="B3" s="128"/>
      <c r="C3" s="128"/>
      <c r="D3" s="128"/>
      <c r="E3" s="128"/>
      <c r="F3" s="128"/>
      <c r="G3" s="128"/>
      <c r="H3" s="128"/>
      <c r="I3" s="129"/>
      <c r="K3" s="1"/>
      <c r="L3" s="1"/>
      <c r="M3" s="1"/>
      <c r="N3" s="1"/>
      <c r="O3" s="1"/>
      <c r="P3" s="1"/>
    </row>
    <row r="4" spans="1:16" ht="15.75" thickBot="1" x14ac:dyDescent="0.3">
      <c r="A4" s="130" t="s">
        <v>22</v>
      </c>
      <c r="B4" s="131"/>
      <c r="C4" s="131"/>
      <c r="D4" s="131"/>
      <c r="E4" s="19"/>
      <c r="F4" s="19"/>
      <c r="G4" s="19"/>
      <c r="H4" s="19"/>
      <c r="I4" s="20"/>
      <c r="K4" s="1"/>
      <c r="L4" s="1"/>
      <c r="M4" s="1"/>
      <c r="N4" s="1"/>
      <c r="O4" s="1"/>
      <c r="P4" s="1"/>
    </row>
    <row r="5" spans="1:16" ht="15.75" x14ac:dyDescent="0.25">
      <c r="A5" s="92" t="s">
        <v>0</v>
      </c>
      <c r="B5" s="93"/>
      <c r="C5" s="93"/>
      <c r="D5" s="93"/>
      <c r="E5" s="93"/>
      <c r="F5" s="93"/>
      <c r="G5" s="93"/>
      <c r="H5" s="93"/>
      <c r="I5" s="94"/>
    </row>
    <row r="6" spans="1:16" ht="15.75" x14ac:dyDescent="0.25">
      <c r="A6" s="95" t="s">
        <v>49</v>
      </c>
      <c r="B6" s="96"/>
      <c r="C6" s="96"/>
      <c r="D6" s="96"/>
      <c r="E6" s="96"/>
      <c r="F6" s="96"/>
      <c r="G6" s="96"/>
      <c r="H6" s="96"/>
      <c r="I6" s="97"/>
    </row>
    <row r="7" spans="1:16" ht="15.75" thickBot="1" x14ac:dyDescent="0.3">
      <c r="A7" s="141" t="s">
        <v>1</v>
      </c>
      <c r="B7" s="142"/>
      <c r="C7" s="142"/>
      <c r="D7" s="142"/>
      <c r="E7" s="142"/>
      <c r="F7" s="142"/>
      <c r="G7" s="142"/>
      <c r="H7" s="142"/>
      <c r="I7" s="143"/>
    </row>
    <row r="8" spans="1:16" ht="15.75" thickBot="1" x14ac:dyDescent="0.3">
      <c r="A8" s="150" t="s">
        <v>32</v>
      </c>
      <c r="B8" s="151"/>
      <c r="C8" s="151"/>
      <c r="D8" s="151"/>
      <c r="E8" s="151"/>
      <c r="F8" s="151"/>
      <c r="G8" s="151"/>
      <c r="H8" s="151"/>
      <c r="I8" s="152"/>
    </row>
    <row r="9" spans="1:16" ht="15.75" thickBot="1" x14ac:dyDescent="0.3">
      <c r="A9" s="31"/>
      <c r="B9" s="32"/>
      <c r="C9" s="33" t="s">
        <v>3</v>
      </c>
      <c r="D9" s="33" t="s">
        <v>4</v>
      </c>
      <c r="E9" s="34" t="s">
        <v>5</v>
      </c>
      <c r="F9" s="104" t="s">
        <v>31</v>
      </c>
      <c r="G9" s="105"/>
      <c r="H9" s="105"/>
      <c r="I9" s="106"/>
    </row>
    <row r="10" spans="1:16" x14ac:dyDescent="0.25">
      <c r="A10" s="35" t="s">
        <v>23</v>
      </c>
      <c r="B10" s="36"/>
      <c r="C10" s="37"/>
      <c r="D10" s="38"/>
      <c r="E10" s="39"/>
      <c r="F10" s="107">
        <f>+SUM(B10:E10)</f>
        <v>0</v>
      </c>
      <c r="G10" s="108"/>
      <c r="H10" s="108"/>
      <c r="I10" s="109"/>
    </row>
    <row r="11" spans="1:16" ht="15.75" thickBot="1" x14ac:dyDescent="0.3">
      <c r="A11" s="40" t="s">
        <v>24</v>
      </c>
      <c r="B11" s="41">
        <f>B10</f>
        <v>0</v>
      </c>
      <c r="C11" s="42">
        <f>C10</f>
        <v>0</v>
      </c>
      <c r="D11" s="42">
        <f>D10</f>
        <v>0</v>
      </c>
      <c r="E11" s="43">
        <f>E10</f>
        <v>0</v>
      </c>
      <c r="F11" s="110">
        <f>SUM(B11:E11)</f>
        <v>0</v>
      </c>
      <c r="G11" s="111"/>
      <c r="H11" s="111"/>
      <c r="I11" s="112"/>
    </row>
    <row r="12" spans="1:16" ht="15.75" thickBot="1" x14ac:dyDescent="0.3">
      <c r="A12" s="98" t="s">
        <v>34</v>
      </c>
      <c r="B12" s="99"/>
      <c r="C12" s="99"/>
      <c r="D12" s="99"/>
      <c r="E12" s="99"/>
      <c r="F12" s="99"/>
      <c r="G12" s="99"/>
      <c r="H12" s="99"/>
      <c r="I12" s="100"/>
    </row>
    <row r="13" spans="1:16" x14ac:dyDescent="0.25">
      <c r="A13" s="21"/>
      <c r="B13" s="113" t="s">
        <v>7</v>
      </c>
      <c r="C13" s="113"/>
      <c r="D13" s="113" t="s">
        <v>8</v>
      </c>
      <c r="E13" s="113"/>
      <c r="F13" s="113" t="s">
        <v>9</v>
      </c>
      <c r="G13" s="113"/>
      <c r="H13" s="22" t="s">
        <v>10</v>
      </c>
      <c r="I13" s="23" t="s">
        <v>11</v>
      </c>
    </row>
    <row r="14" spans="1:16" ht="15.75" thickBot="1" x14ac:dyDescent="0.3">
      <c r="A14" s="24"/>
      <c r="B14" s="25" t="s">
        <v>12</v>
      </c>
      <c r="C14" s="26" t="s">
        <v>13</v>
      </c>
      <c r="D14" s="25" t="s">
        <v>12</v>
      </c>
      <c r="E14" s="26" t="s">
        <v>13</v>
      </c>
      <c r="F14" s="25" t="s">
        <v>12</v>
      </c>
      <c r="G14" s="26" t="s">
        <v>13</v>
      </c>
      <c r="H14" s="25" t="s">
        <v>13</v>
      </c>
      <c r="I14" s="26" t="s">
        <v>13</v>
      </c>
    </row>
    <row r="15" spans="1:16" ht="24" thickBot="1" x14ac:dyDescent="0.3">
      <c r="A15" s="27" t="s">
        <v>30</v>
      </c>
      <c r="B15" s="28"/>
      <c r="C15" s="29">
        <f>B15*12</f>
        <v>0</v>
      </c>
      <c r="D15" s="28"/>
      <c r="E15" s="29">
        <f>D15*3</f>
        <v>0</v>
      </c>
      <c r="F15" s="28"/>
      <c r="G15" s="29">
        <f>F15*6</f>
        <v>0</v>
      </c>
      <c r="H15" s="30"/>
      <c r="I15" s="29"/>
    </row>
    <row r="16" spans="1:16" ht="15.75" thickBot="1" x14ac:dyDescent="0.3">
      <c r="A16" s="147" t="s">
        <v>29</v>
      </c>
      <c r="B16" s="148"/>
      <c r="C16" s="148"/>
      <c r="D16" s="148"/>
      <c r="E16" s="148"/>
      <c r="F16" s="148"/>
      <c r="G16" s="148"/>
      <c r="H16" s="148"/>
      <c r="I16" s="149"/>
    </row>
    <row r="17" spans="1:16" x14ac:dyDescent="0.25">
      <c r="A17" s="44" t="s">
        <v>6</v>
      </c>
      <c r="B17" s="45"/>
      <c r="C17" s="46">
        <f>B17*12</f>
        <v>0</v>
      </c>
      <c r="D17" s="45"/>
      <c r="E17" s="46">
        <f>+D17*3</f>
        <v>0</v>
      </c>
      <c r="F17" s="45"/>
      <c r="G17" s="46">
        <f t="shared" ref="G17:G28" si="0">F17*6</f>
        <v>0</v>
      </c>
      <c r="H17" s="47">
        <f t="shared" ref="H17:H28" si="1">C17+E17+G17</f>
        <v>0</v>
      </c>
      <c r="I17" s="144"/>
    </row>
    <row r="18" spans="1:16" ht="15.75" thickBot="1" x14ac:dyDescent="0.3">
      <c r="A18" s="48" t="s">
        <v>24</v>
      </c>
      <c r="B18" s="49">
        <f>B17</f>
        <v>0</v>
      </c>
      <c r="C18" s="50">
        <f>B18*12</f>
        <v>0</v>
      </c>
      <c r="D18" s="49">
        <f>D17</f>
        <v>0</v>
      </c>
      <c r="E18" s="50">
        <f>D18*3</f>
        <v>0</v>
      </c>
      <c r="F18" s="49">
        <f>F17</f>
        <v>0</v>
      </c>
      <c r="G18" s="50">
        <f t="shared" si="0"/>
        <v>0</v>
      </c>
      <c r="H18" s="51">
        <f t="shared" si="1"/>
        <v>0</v>
      </c>
      <c r="I18" s="145"/>
    </row>
    <row r="19" spans="1:16" x14ac:dyDescent="0.25">
      <c r="A19" s="52" t="s">
        <v>25</v>
      </c>
      <c r="B19" s="53"/>
      <c r="C19" s="54">
        <f>B19*12</f>
        <v>0</v>
      </c>
      <c r="D19" s="53"/>
      <c r="E19" s="54">
        <f>+D19*3</f>
        <v>0</v>
      </c>
      <c r="F19" s="53"/>
      <c r="G19" s="54">
        <f t="shared" si="0"/>
        <v>0</v>
      </c>
      <c r="H19" s="55">
        <f t="shared" si="1"/>
        <v>0</v>
      </c>
      <c r="I19" s="145"/>
    </row>
    <row r="20" spans="1:16" ht="15.75" thickBot="1" x14ac:dyDescent="0.3">
      <c r="A20" s="56" t="s">
        <v>24</v>
      </c>
      <c r="B20" s="18">
        <f>B19</f>
        <v>0</v>
      </c>
      <c r="C20" s="57">
        <f>+B20*12</f>
        <v>0</v>
      </c>
      <c r="D20" s="18">
        <f>D19</f>
        <v>0</v>
      </c>
      <c r="E20" s="57">
        <f>D20*3</f>
        <v>0</v>
      </c>
      <c r="F20" s="18">
        <f>F19</f>
        <v>0</v>
      </c>
      <c r="G20" s="57">
        <f t="shared" si="0"/>
        <v>0</v>
      </c>
      <c r="H20" s="58">
        <f t="shared" si="1"/>
        <v>0</v>
      </c>
      <c r="I20" s="145"/>
    </row>
    <row r="21" spans="1:16" x14ac:dyDescent="0.25">
      <c r="A21" s="44" t="s">
        <v>26</v>
      </c>
      <c r="B21" s="45"/>
      <c r="C21" s="46">
        <f>B21*12</f>
        <v>0</v>
      </c>
      <c r="D21" s="45"/>
      <c r="E21" s="46">
        <f>+D21*3</f>
        <v>0</v>
      </c>
      <c r="F21" s="45"/>
      <c r="G21" s="46">
        <f t="shared" si="0"/>
        <v>0</v>
      </c>
      <c r="H21" s="47">
        <f t="shared" si="1"/>
        <v>0</v>
      </c>
      <c r="I21" s="145"/>
    </row>
    <row r="22" spans="1:16" ht="15.75" thickBot="1" x14ac:dyDescent="0.3">
      <c r="A22" s="48" t="s">
        <v>24</v>
      </c>
      <c r="B22" s="49">
        <f>B21</f>
        <v>0</v>
      </c>
      <c r="C22" s="50">
        <f>+B22*12</f>
        <v>0</v>
      </c>
      <c r="D22" s="49">
        <f>D21</f>
        <v>0</v>
      </c>
      <c r="E22" s="50">
        <f>D22*3</f>
        <v>0</v>
      </c>
      <c r="F22" s="49">
        <f>F21</f>
        <v>0</v>
      </c>
      <c r="G22" s="50">
        <f t="shared" si="0"/>
        <v>0</v>
      </c>
      <c r="H22" s="51">
        <f t="shared" si="1"/>
        <v>0</v>
      </c>
      <c r="I22" s="145"/>
    </row>
    <row r="23" spans="1:16" x14ac:dyDescent="0.25">
      <c r="A23" s="52" t="s">
        <v>27</v>
      </c>
      <c r="B23" s="53"/>
      <c r="C23" s="54">
        <f>B23*12</f>
        <v>0</v>
      </c>
      <c r="D23" s="53"/>
      <c r="E23" s="54">
        <f>+D23*3</f>
        <v>0</v>
      </c>
      <c r="F23" s="53"/>
      <c r="G23" s="54">
        <f t="shared" si="0"/>
        <v>0</v>
      </c>
      <c r="H23" s="55">
        <f t="shared" si="1"/>
        <v>0</v>
      </c>
      <c r="I23" s="145"/>
    </row>
    <row r="24" spans="1:16" ht="15.75" thickBot="1" x14ac:dyDescent="0.3">
      <c r="A24" s="56" t="s">
        <v>24</v>
      </c>
      <c r="B24" s="18">
        <f>B23</f>
        <v>0</v>
      </c>
      <c r="C24" s="57">
        <f>+B24*12</f>
        <v>0</v>
      </c>
      <c r="D24" s="18">
        <f>D23</f>
        <v>0</v>
      </c>
      <c r="E24" s="57">
        <f>D24*3</f>
        <v>0</v>
      </c>
      <c r="F24" s="18">
        <f>F23</f>
        <v>0</v>
      </c>
      <c r="G24" s="57">
        <f t="shared" si="0"/>
        <v>0</v>
      </c>
      <c r="H24" s="58">
        <f t="shared" si="1"/>
        <v>0</v>
      </c>
      <c r="I24" s="145"/>
    </row>
    <row r="25" spans="1:16" x14ac:dyDescent="0.25">
      <c r="A25" s="44" t="s">
        <v>28</v>
      </c>
      <c r="B25" s="45"/>
      <c r="C25" s="46">
        <f>B25*12</f>
        <v>0</v>
      </c>
      <c r="D25" s="45"/>
      <c r="E25" s="46">
        <f>+D25*3</f>
        <v>0</v>
      </c>
      <c r="F25" s="45"/>
      <c r="G25" s="46">
        <f t="shared" si="0"/>
        <v>0</v>
      </c>
      <c r="H25" s="47">
        <f t="shared" si="1"/>
        <v>0</v>
      </c>
      <c r="I25" s="145"/>
    </row>
    <row r="26" spans="1:16" ht="15.75" thickBot="1" x14ac:dyDescent="0.3">
      <c r="A26" s="48" t="s">
        <v>24</v>
      </c>
      <c r="B26" s="49">
        <f>B25</f>
        <v>0</v>
      </c>
      <c r="C26" s="50">
        <f>+B26*12</f>
        <v>0</v>
      </c>
      <c r="D26" s="49">
        <f>D25</f>
        <v>0</v>
      </c>
      <c r="E26" s="50">
        <f>D26*3</f>
        <v>0</v>
      </c>
      <c r="F26" s="49">
        <f>F25</f>
        <v>0</v>
      </c>
      <c r="G26" s="50">
        <f t="shared" si="0"/>
        <v>0</v>
      </c>
      <c r="H26" s="51">
        <f t="shared" si="1"/>
        <v>0</v>
      </c>
      <c r="I26" s="145"/>
    </row>
    <row r="27" spans="1:16" ht="24.75" customHeight="1" thickBot="1" x14ac:dyDescent="0.3">
      <c r="A27" s="59" t="s">
        <v>39</v>
      </c>
      <c r="B27" s="60">
        <f>B17+B19+B21+B23+B25</f>
        <v>0</v>
      </c>
      <c r="C27" s="61">
        <f>+B27*12</f>
        <v>0</v>
      </c>
      <c r="D27" s="60">
        <f>D17+D19+D21+D23+D25</f>
        <v>0</v>
      </c>
      <c r="E27" s="61">
        <f>+D27*3</f>
        <v>0</v>
      </c>
      <c r="F27" s="60">
        <f>F17+F19+F21+F23+F25</f>
        <v>0</v>
      </c>
      <c r="G27" s="61">
        <f t="shared" si="0"/>
        <v>0</v>
      </c>
      <c r="H27" s="62">
        <f t="shared" si="1"/>
        <v>0</v>
      </c>
      <c r="I27" s="145"/>
      <c r="K27" s="1"/>
      <c r="L27" s="1"/>
      <c r="M27" s="1"/>
      <c r="N27" s="1"/>
      <c r="O27" s="1"/>
      <c r="P27" s="1"/>
    </row>
    <row r="28" spans="1:16" ht="24" thickBot="1" x14ac:dyDescent="0.3">
      <c r="A28" s="63" t="s">
        <v>38</v>
      </c>
      <c r="B28" s="64">
        <f>B18+B20+B22+B24+B26</f>
        <v>0</v>
      </c>
      <c r="C28" s="65">
        <f>+B28*12</f>
        <v>0</v>
      </c>
      <c r="D28" s="64">
        <f>D18+D20+D22+D24+D26</f>
        <v>0</v>
      </c>
      <c r="E28" s="65">
        <f>+D28*3</f>
        <v>0</v>
      </c>
      <c r="F28" s="64">
        <f>F18+F20+F22+F24+F26</f>
        <v>0</v>
      </c>
      <c r="G28" s="65">
        <f t="shared" si="0"/>
        <v>0</v>
      </c>
      <c r="H28" s="66">
        <f t="shared" si="1"/>
        <v>0</v>
      </c>
      <c r="I28" s="146"/>
      <c r="K28" s="1"/>
      <c r="L28" s="1"/>
      <c r="M28" s="1"/>
      <c r="N28" s="1"/>
      <c r="O28" s="1"/>
      <c r="P28" s="1"/>
    </row>
    <row r="29" spans="1:16" ht="15.75" thickBot="1" x14ac:dyDescent="0.3">
      <c r="A29" s="101" t="s">
        <v>35</v>
      </c>
      <c r="B29" s="102"/>
      <c r="C29" s="102"/>
      <c r="D29" s="102"/>
      <c r="E29" s="102"/>
      <c r="F29" s="102"/>
      <c r="G29" s="102"/>
      <c r="H29" s="102"/>
      <c r="I29" s="103"/>
      <c r="K29" s="1"/>
      <c r="L29" s="1"/>
      <c r="M29" s="1"/>
      <c r="N29" s="1"/>
      <c r="O29" s="1"/>
      <c r="P29" s="1"/>
    </row>
    <row r="30" spans="1:16" ht="15.75" thickBot="1" x14ac:dyDescent="0.3">
      <c r="A30" s="67" t="s">
        <v>14</v>
      </c>
      <c r="B30" s="68"/>
      <c r="C30" s="69">
        <f>B30*12</f>
        <v>0</v>
      </c>
      <c r="D30" s="68"/>
      <c r="E30" s="69">
        <f>D30*3</f>
        <v>0</v>
      </c>
      <c r="F30" s="68"/>
      <c r="G30" s="69">
        <f>F30*6</f>
        <v>0</v>
      </c>
      <c r="H30" s="70"/>
      <c r="I30" s="71"/>
    </row>
    <row r="31" spans="1:16" ht="15.75" thickBot="1" x14ac:dyDescent="0.3">
      <c r="A31" s="87" t="s">
        <v>36</v>
      </c>
      <c r="B31" s="88"/>
      <c r="C31" s="88"/>
      <c r="D31" s="88"/>
      <c r="E31" s="88"/>
      <c r="F31" s="88"/>
      <c r="G31" s="88"/>
      <c r="H31" s="88"/>
      <c r="I31" s="89"/>
    </row>
    <row r="32" spans="1:16" x14ac:dyDescent="0.25">
      <c r="A32" s="72" t="s">
        <v>15</v>
      </c>
      <c r="B32" s="73">
        <f>B30+B27-B15</f>
        <v>0</v>
      </c>
      <c r="C32" s="74">
        <f>B32*12</f>
        <v>0</v>
      </c>
      <c r="D32" s="73">
        <f>D30+D27-D15</f>
        <v>0</v>
      </c>
      <c r="E32" s="74">
        <f>D32*3</f>
        <v>0</v>
      </c>
      <c r="F32" s="73">
        <f>F30+F27-F15</f>
        <v>0</v>
      </c>
      <c r="G32" s="74">
        <f>F32*6</f>
        <v>0</v>
      </c>
      <c r="H32" s="75">
        <f>C32+E32+G32</f>
        <v>0</v>
      </c>
      <c r="I32" s="90"/>
    </row>
    <row r="33" spans="1:9" ht="15.75" thickBot="1" x14ac:dyDescent="0.3">
      <c r="A33" s="76" t="s">
        <v>16</v>
      </c>
      <c r="B33" s="77">
        <f>B32</f>
        <v>0</v>
      </c>
      <c r="C33" s="78">
        <f>B33*12</f>
        <v>0</v>
      </c>
      <c r="D33" s="77">
        <f>D32</f>
        <v>0</v>
      </c>
      <c r="E33" s="78">
        <f>D33*3</f>
        <v>0</v>
      </c>
      <c r="F33" s="77">
        <f>F32</f>
        <v>0</v>
      </c>
      <c r="G33" s="78">
        <f>F33*6</f>
        <v>0</v>
      </c>
      <c r="H33" s="79">
        <f>C33+E33+G33</f>
        <v>0</v>
      </c>
      <c r="I33" s="91"/>
    </row>
    <row r="34" spans="1:9" ht="15.75" thickBot="1" x14ac:dyDescent="0.3">
      <c r="A34" s="138" t="s">
        <v>37</v>
      </c>
      <c r="B34" s="139"/>
      <c r="C34" s="139"/>
      <c r="D34" s="139"/>
      <c r="E34" s="139"/>
      <c r="F34" s="139"/>
      <c r="G34" s="139"/>
      <c r="H34" s="139"/>
      <c r="I34" s="140"/>
    </row>
    <row r="35" spans="1:9" ht="15.75" thickBot="1" x14ac:dyDescent="0.3">
      <c r="A35" s="6" t="s">
        <v>17</v>
      </c>
      <c r="B35" s="116" t="s">
        <v>18</v>
      </c>
      <c r="C35" s="117"/>
      <c r="D35" s="118" t="s">
        <v>19</v>
      </c>
      <c r="E35" s="119"/>
      <c r="F35" s="116" t="s">
        <v>17</v>
      </c>
      <c r="G35" s="120"/>
      <c r="H35" s="120"/>
      <c r="I35" s="117"/>
    </row>
    <row r="36" spans="1:9" x14ac:dyDescent="0.25">
      <c r="A36" s="7" t="s">
        <v>15</v>
      </c>
      <c r="B36" s="132"/>
      <c r="C36" s="133"/>
      <c r="D36" s="134">
        <f>F36-B36</f>
        <v>0</v>
      </c>
      <c r="E36" s="135"/>
      <c r="F36" s="136">
        <f>I30+H30-E40</f>
        <v>0</v>
      </c>
      <c r="G36" s="137"/>
      <c r="H36" s="114" t="str">
        <f>IF(SUM(H32)=0,"",F36/(H32))</f>
        <v/>
      </c>
      <c r="I36" s="115"/>
    </row>
    <row r="37" spans="1:9" ht="15.75" thickBot="1" x14ac:dyDescent="0.3">
      <c r="A37" s="8" t="s">
        <v>16</v>
      </c>
      <c r="B37" s="164">
        <f>B36</f>
        <v>0</v>
      </c>
      <c r="C37" s="165"/>
      <c r="D37" s="166">
        <f>F37-B37</f>
        <v>0</v>
      </c>
      <c r="E37" s="167"/>
      <c r="F37" s="168">
        <f>F36</f>
        <v>0</v>
      </c>
      <c r="G37" s="169"/>
      <c r="H37" s="170" t="str">
        <f>IF(SUM(H33)=0,"",F37/(H33))</f>
        <v/>
      </c>
      <c r="I37" s="171"/>
    </row>
    <row r="38" spans="1:9" ht="15.75" thickBot="1" x14ac:dyDescent="0.3">
      <c r="A38" s="3" t="s">
        <v>20</v>
      </c>
      <c r="B38" s="153"/>
      <c r="C38" s="154"/>
      <c r="D38" s="154"/>
      <c r="E38" s="154"/>
      <c r="F38" s="154"/>
      <c r="G38" s="154"/>
      <c r="H38" s="154"/>
      <c r="I38" s="155"/>
    </row>
    <row r="39" spans="1:9" ht="15.75" thickBot="1" x14ac:dyDescent="0.3">
      <c r="A39" s="4"/>
      <c r="B39" s="2"/>
      <c r="C39" s="2"/>
      <c r="D39" s="2"/>
      <c r="E39" s="156" t="s">
        <v>2</v>
      </c>
      <c r="F39" s="157"/>
      <c r="G39" s="157"/>
      <c r="H39" s="157"/>
      <c r="I39" s="146"/>
    </row>
    <row r="40" spans="1:9" ht="15.75" thickBot="1" x14ac:dyDescent="0.3">
      <c r="A40" s="158" t="s">
        <v>21</v>
      </c>
      <c r="B40" s="159"/>
      <c r="C40" s="159"/>
      <c r="D40" s="160"/>
      <c r="E40" s="161">
        <f>F10+H15+I15-H27</f>
        <v>0</v>
      </c>
      <c r="F40" s="162"/>
      <c r="G40" s="162"/>
      <c r="H40" s="162"/>
      <c r="I40" s="163"/>
    </row>
    <row r="41" spans="1:9" ht="15.75" thickBot="1" x14ac:dyDescent="0.3"/>
    <row r="42" spans="1:9" ht="15.75" thickBot="1" x14ac:dyDescent="0.3">
      <c r="A42" s="82" t="s">
        <v>40</v>
      </c>
      <c r="B42" s="83"/>
      <c r="C42" s="83"/>
      <c r="D42" s="83"/>
      <c r="E42" s="83"/>
      <c r="F42" s="84"/>
      <c r="G42" s="85" t="s">
        <v>48</v>
      </c>
      <c r="H42" s="85" t="s">
        <v>47</v>
      </c>
    </row>
    <row r="43" spans="1:9" ht="26.25" thickBot="1" x14ac:dyDescent="0.3">
      <c r="A43" s="10" t="s">
        <v>41</v>
      </c>
      <c r="B43" s="11" t="s">
        <v>42</v>
      </c>
      <c r="C43" s="10" t="s">
        <v>43</v>
      </c>
      <c r="D43" s="12" t="s">
        <v>44</v>
      </c>
      <c r="E43" s="12" t="s">
        <v>46</v>
      </c>
      <c r="F43" s="13" t="s">
        <v>45</v>
      </c>
      <c r="G43" s="86"/>
      <c r="H43" s="86"/>
    </row>
    <row r="44" spans="1:9" ht="15.75" thickBot="1" x14ac:dyDescent="0.3">
      <c r="A44" s="14">
        <f>+F36</f>
        <v>0</v>
      </c>
      <c r="B44" s="15" t="str">
        <f>+H36</f>
        <v/>
      </c>
      <c r="C44" s="14">
        <f>+H30</f>
        <v>0</v>
      </c>
      <c r="D44" s="16">
        <f>+I30</f>
        <v>0</v>
      </c>
      <c r="E44" s="16">
        <f>+H32</f>
        <v>0</v>
      </c>
      <c r="F44" s="17" t="str">
        <f>IF(SUM(E44)=0,"",(C44+D44)/E44)</f>
        <v/>
      </c>
      <c r="G44" s="80">
        <f>+H28</f>
        <v>0</v>
      </c>
      <c r="H44" s="81">
        <f>+H18</f>
        <v>0</v>
      </c>
    </row>
  </sheetData>
  <mergeCells count="39">
    <mergeCell ref="H37:I37"/>
    <mergeCell ref="A1:I1"/>
    <mergeCell ref="A2:I2"/>
    <mergeCell ref="A3:I3"/>
    <mergeCell ref="A4:D4"/>
    <mergeCell ref="B36:C36"/>
    <mergeCell ref="D36:E36"/>
    <mergeCell ref="F36:G36"/>
    <mergeCell ref="A34:I34"/>
    <mergeCell ref="A7:I7"/>
    <mergeCell ref="I17:I28"/>
    <mergeCell ref="A16:I16"/>
    <mergeCell ref="A8:I8"/>
    <mergeCell ref="A5:I5"/>
    <mergeCell ref="A6:I6"/>
    <mergeCell ref="A12:I12"/>
    <mergeCell ref="A29:I29"/>
    <mergeCell ref="F9:I9"/>
    <mergeCell ref="F10:I10"/>
    <mergeCell ref="F11:I11"/>
    <mergeCell ref="B13:C13"/>
    <mergeCell ref="D13:E13"/>
    <mergeCell ref="F13:G13"/>
    <mergeCell ref="A42:F42"/>
    <mergeCell ref="G42:G43"/>
    <mergeCell ref="H42:H43"/>
    <mergeCell ref="A31:I31"/>
    <mergeCell ref="I32:I33"/>
    <mergeCell ref="H36:I36"/>
    <mergeCell ref="B35:C35"/>
    <mergeCell ref="D35:E35"/>
    <mergeCell ref="F35:I35"/>
    <mergeCell ref="B38:I38"/>
    <mergeCell ref="E39:I39"/>
    <mergeCell ref="A40:D40"/>
    <mergeCell ref="E40:I40"/>
    <mergeCell ref="B37:C37"/>
    <mergeCell ref="D37:E37"/>
    <mergeCell ref="F37:G37"/>
  </mergeCells>
  <pageMargins left="0.7" right="0.7" top="0.75" bottom="0.75" header="0.3" footer="0.3"/>
  <pageSetup paperSize="9" orientation="portrait" r:id="rId1"/>
  <ignoredErrors>
    <ignoredError sqref="C32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Canevas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2026-02-12T08:00:19Z</dcterms:modified>
</cp:coreProperties>
</file>